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kar Ji\Desktop\"/>
    </mc:Choice>
  </mc:AlternateContent>
  <xr:revisionPtr revIDLastSave="0" documentId="13_ncr:1_{1E0D792F-4757-487D-8BF6-6D9436317C5C}" xr6:coauthVersionLast="47" xr6:coauthVersionMax="47" xr10:uidLastSave="{00000000-0000-0000-0000-000000000000}"/>
  <bookViews>
    <workbookView xWindow="-120" yWindow="-120" windowWidth="20730" windowHeight="11040" xr2:uid="{06F0C228-5ECF-4A7E-BA5E-5B6A628B7AF0}"/>
  </bookViews>
  <sheets>
    <sheet name="allocation" sheetId="1" r:id="rId1"/>
    <sheet name="summary" sheetId="3" r:id="rId2"/>
    <sheet name="Pharmacist Kit alloc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15" i="1" l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4" i="1"/>
  <c r="AM13" i="1"/>
  <c r="AM12" i="1"/>
  <c r="AM11" i="1"/>
  <c r="AM10" i="1"/>
  <c r="AM9" i="1"/>
  <c r="AM8" i="1"/>
  <c r="AM7" i="1"/>
</calcChain>
</file>

<file path=xl/sharedStrings.xml><?xml version="1.0" encoding="utf-8"?>
<sst xmlns="http://schemas.openxmlformats.org/spreadsheetml/2006/main" count="774" uniqueCount="365">
  <si>
    <t>S no</t>
  </si>
  <si>
    <t xml:space="preserve">Emp Code </t>
  </si>
  <si>
    <t>Div</t>
  </si>
  <si>
    <t>STATE</t>
  </si>
  <si>
    <t>HQ</t>
  </si>
  <si>
    <t>Zonal Ass.</t>
  </si>
  <si>
    <t>1st Line Reporting</t>
  </si>
  <si>
    <t>2nd Line Reporting</t>
  </si>
  <si>
    <t>Contact</t>
  </si>
  <si>
    <t>Communication Address</t>
  </si>
  <si>
    <t>Email Id</t>
  </si>
  <si>
    <t>Maxvida Kesar Elaichi</t>
  </si>
  <si>
    <t>Maxvida Vanilla</t>
  </si>
  <si>
    <t>Maxvida Choc</t>
  </si>
  <si>
    <t>Maxvida High Protein</t>
  </si>
  <si>
    <t>Vidavance Vanilla</t>
  </si>
  <si>
    <t>Vidavance Chocolate</t>
  </si>
  <si>
    <t>Vidavance Mango</t>
  </si>
  <si>
    <t>Vidaslim Green Vanilla</t>
  </si>
  <si>
    <t>Vidaslim Green(Coffee</t>
  </si>
  <si>
    <t>HPHF Orange</t>
  </si>
  <si>
    <t>HPHF Vanilla</t>
  </si>
  <si>
    <t>maxvida Advance Vanilla</t>
  </si>
  <si>
    <t>Vivamom sf choc</t>
  </si>
  <si>
    <t>vivamom sf KB</t>
  </si>
  <si>
    <t>Vivamom kesar badam</t>
  </si>
  <si>
    <t>vivamom choc</t>
  </si>
  <si>
    <t>Groviva lite</t>
  </si>
  <si>
    <t>Groviva advance</t>
  </si>
  <si>
    <t>Groviva Gold sample Choc</t>
  </si>
  <si>
    <t>Groviva Gold sample Strawberry</t>
  </si>
  <si>
    <t>maxvida Jusprotin</t>
  </si>
  <si>
    <t>Total Samples</t>
  </si>
  <si>
    <t>INST</t>
  </si>
  <si>
    <t>Delhi</t>
  </si>
  <si>
    <t>Sanchari</t>
  </si>
  <si>
    <t>Nitesh Kumar Verma</t>
  </si>
  <si>
    <t>Uttar Pradesh</t>
  </si>
  <si>
    <t>Lucknow</t>
  </si>
  <si>
    <t>Nikhil Tripathi</t>
  </si>
  <si>
    <t>Sandeep Singh</t>
  </si>
  <si>
    <t>Saurabh Srivastava</t>
  </si>
  <si>
    <t>Manohar Chopra</t>
  </si>
  <si>
    <t>Sunil Kumar Sharma</t>
  </si>
  <si>
    <t>Bihar</t>
  </si>
  <si>
    <t>Patna</t>
  </si>
  <si>
    <t>Vikash Singh Nikumbh</t>
  </si>
  <si>
    <t>Patna 1</t>
  </si>
  <si>
    <t>C/O  Mr Paramjeet Kumar Singh,House No- 430 , Road no-12 , Block B, LIG Colony Partaker Nagar Kankarbagh Patna -800020</t>
  </si>
  <si>
    <t xml:space="preserve"> Vikash.nikumbh@signutra.com</t>
  </si>
  <si>
    <t>Chandan Kumar Verma</t>
  </si>
  <si>
    <t>Patna 2</t>
  </si>
  <si>
    <t>Sushila Enclave, Block B, Abhimanyu Nagar(Kothava), Front Of Kashyap Green City, Patna, Bihar-801105</t>
  </si>
  <si>
    <t>chandan.kumar@signutra.com</t>
  </si>
  <si>
    <t>Kundan Mishra</t>
  </si>
  <si>
    <t>Patna 3</t>
  </si>
  <si>
    <t>D -19 Alaknanda Apartmnet North Shastri Nagar Patna.800023</t>
  </si>
  <si>
    <t>Kundan.mishra@signutra.com</t>
  </si>
  <si>
    <t>Niranjan Sahoo</t>
  </si>
  <si>
    <t>Odissa</t>
  </si>
  <si>
    <t xml:space="preserve">Bhuwaneshwar </t>
  </si>
  <si>
    <t>Plot No-231/1984, Susanti Vihar,Tankapani Road,Bubaneswar-751018</t>
  </si>
  <si>
    <t xml:space="preserve">Niranjan.sahoo@signutra.com </t>
  </si>
  <si>
    <t>Nilesh Kumar Sinha</t>
  </si>
  <si>
    <t>Jharkhand</t>
  </si>
  <si>
    <t>Ranchi</t>
  </si>
  <si>
    <t>Prahlad Enclave, Sukhmani Height Flat No -703, Chiroundi Ranchi- 834006</t>
  </si>
  <si>
    <t>Nilesh.sinha@signutra.com</t>
  </si>
  <si>
    <t>Shashank Sagar</t>
  </si>
  <si>
    <t>Bibhas Sen</t>
  </si>
  <si>
    <t>West Bengal</t>
  </si>
  <si>
    <t>Saikat Sarkar</t>
  </si>
  <si>
    <t>Kolkata 1</t>
  </si>
  <si>
    <t>1083/1, PO-Kalyangarh, Ps-Ashoknagar, Pin-743272, (N)24PGS, Near- Amra Sabai Club.</t>
  </si>
  <si>
    <t>Saikat.sarkar@signutra.com</t>
  </si>
  <si>
    <t>Sovan Mondal</t>
  </si>
  <si>
    <t>Kolkata 2</t>
  </si>
  <si>
    <t>C/0- Mintu Mondal, Vill-Putkhali, PO- Daulatpur, PS- Maheshtala, Dt- 24pgs(N),Kol- 700139</t>
  </si>
  <si>
    <t>Sovan.mondal@signutra.com</t>
  </si>
  <si>
    <t>Syed Sohail Zaman </t>
  </si>
  <si>
    <t>Assam</t>
  </si>
  <si>
    <t xml:space="preserve">Guwahati 2 </t>
  </si>
  <si>
    <t>Moidu House -09 , Sarumotoria Dispur, 1- No Masjid, Dr, Zakir Hussain Path, Dispur, Guwahati – 781005</t>
  </si>
  <si>
    <t>Syed.sohail@signutra.com</t>
  </si>
  <si>
    <t>Rakesh Kumar</t>
  </si>
  <si>
    <t>Guwahati 1</t>
  </si>
  <si>
    <t>Not shared yet</t>
  </si>
  <si>
    <t>Rakesh.Kumar@signutra.com</t>
  </si>
  <si>
    <t>Ghanshyam Keswani</t>
  </si>
  <si>
    <t>Pooja Bhandari</t>
  </si>
  <si>
    <t>Sarita Rai</t>
  </si>
  <si>
    <t xml:space="preserve">Delhi 2 </t>
  </si>
  <si>
    <t>H.N. 581/8, 1St Floor, Near Krishna Dairy, (Old Shiv Mandir), Chirag Delhi, New Delhi-110017</t>
  </si>
  <si>
    <t>sarita.rai@signutra.com</t>
  </si>
  <si>
    <t>Shalini Sharma</t>
  </si>
  <si>
    <t>Haryana</t>
  </si>
  <si>
    <t>Gurgaon</t>
  </si>
  <si>
    <t>Rajbala girls pg , 85, Sohna- Gurgaon road, near bank of India, Islampur Village, sector 33, Gurugram 122001 . </t>
  </si>
  <si>
    <t>Shalini.sharma@signutra.com</t>
  </si>
  <si>
    <t xml:space="preserve">Sher Mohammad </t>
  </si>
  <si>
    <t>Noida</t>
  </si>
  <si>
    <t>House-266, Noorani Majidwali Gali, Lok Priyvihar Khoda Colony Ghaziabad- 201003</t>
  </si>
  <si>
    <t>sher.mohammad@signutra.com</t>
  </si>
  <si>
    <t>Sourav Thakur</t>
  </si>
  <si>
    <t>Punjab</t>
  </si>
  <si>
    <t>Chandigarh</t>
  </si>
  <si>
    <t>86298 56977</t>
  </si>
  <si>
    <t>15B, Gobind Envlave, Baliali Rd sector-117 Mohali-140301 Punjab</t>
  </si>
  <si>
    <t>Sourav.thakur@signutra.com</t>
  </si>
  <si>
    <t>Manish Tiwari</t>
  </si>
  <si>
    <t xml:space="preserve">Pradeep Pandey </t>
  </si>
  <si>
    <t>Delhi 4</t>
  </si>
  <si>
    <t>9260992005, 7388217793</t>
  </si>
  <si>
    <t>Panwar bhawan 402 1st floor Gali no.16 near radha krishna mandir sant nagar burari 110084</t>
  </si>
  <si>
    <t>pradeep.pandey@signutra.com</t>
  </si>
  <si>
    <t>Maharashtra</t>
  </si>
  <si>
    <t>Arputham</t>
  </si>
  <si>
    <t>Ramsurat Chandrahash Gupta</t>
  </si>
  <si>
    <t xml:space="preserve">Sampad Roy </t>
  </si>
  <si>
    <t>Ajay Vijayshankar Vaishya</t>
  </si>
  <si>
    <t>Pune 1</t>
  </si>
  <si>
    <t>Block 2, First Floor, Siddhivinayak, Swapnanagari Chs Society, Gurudwara Road, Chinchwad, Pune - 411033</t>
  </si>
  <si>
    <t>ajay.vaishya@signutra.com</t>
  </si>
  <si>
    <t>Niranjan Shantinath Nandre</t>
  </si>
  <si>
    <t xml:space="preserve">Pune 2 </t>
  </si>
  <si>
    <t xml:space="preserve">Flat No 4,2Nd Floor Anant Jyoti,Gopal Krishna Society, Survey Number :6/2/1/2 &amp; Plot Number :14,Warje,Pune 411058 </t>
  </si>
  <si>
    <t>niranjan.shantinath@Signutra.com</t>
  </si>
  <si>
    <t>Sumit Prakash Singh</t>
  </si>
  <si>
    <t>Mumbai 3</t>
  </si>
  <si>
    <t>E/702 vrindavan heights near dmart vasai East 401209</t>
  </si>
  <si>
    <t>Sumit.singh@signutra.com</t>
  </si>
  <si>
    <t>Balvindar Singh</t>
  </si>
  <si>
    <t xml:space="preserve">Mumbai 1 </t>
  </si>
  <si>
    <t>Flat No 603 Building No 2 Ajit Building Sarvodaya Nagar Jambul Phata Ambernath West Mumbai - 421505 Maharashtra</t>
  </si>
  <si>
    <t>balvindar.singh@signutra.com</t>
  </si>
  <si>
    <t>Ajeet Rajendra Bahadur Singh</t>
  </si>
  <si>
    <t>Mumbai 2</t>
  </si>
  <si>
    <t>Flat No 604, A Wing, Sai Shrusti Sapphire, Near Rameshwar Park, Diva East, Thane, Maharashtra. Pind Code - 400 612</t>
  </si>
  <si>
    <t>Ajeet.singh@signutra.com</t>
  </si>
  <si>
    <t>Patel Alpesh Vishnubhai</t>
  </si>
  <si>
    <t>Gujarat</t>
  </si>
  <si>
    <t xml:space="preserve">Ahmedabad </t>
  </si>
  <si>
    <t xml:space="preserve"> C -403, Magnate Lavish, Nr Gems genesis international school, Vaishnodevi,Khodiyar, Ahmedabad - 382421</t>
  </si>
  <si>
    <t>Patel.Alpesh@signutra.com</t>
  </si>
  <si>
    <t>Abhishek Kumar Singh</t>
  </si>
  <si>
    <t>Madhya Pradesh</t>
  </si>
  <si>
    <t xml:space="preserve">Indore </t>
  </si>
  <si>
    <t>House No-221,Parag Nagar,Sukhliya,Mr-10 Road , Indore-452010,M.P(India)</t>
  </si>
  <si>
    <t xml:space="preserve"> Abhishek.singh@signutra.com</t>
  </si>
  <si>
    <t>Mayank Kesharwani</t>
  </si>
  <si>
    <t>Bhopal</t>
  </si>
  <si>
    <t>9165418982, 7000567580</t>
  </si>
  <si>
    <t>House Number 06, Windsor Palms, Near Mother Teresa School, Inayatpura, Kolar Road Bhopal M.P,Pin Code :462042</t>
  </si>
  <si>
    <t>Mayank.kesharwani@signutra.com</t>
  </si>
  <si>
    <t>Madhusudan K S</t>
  </si>
  <si>
    <t>Karnataka</t>
  </si>
  <si>
    <t>B Narsimhulu</t>
  </si>
  <si>
    <t>Telangana</t>
  </si>
  <si>
    <t>Hyderabad 1</t>
  </si>
  <si>
    <t>Sahara Estate, New Malahar Near 2Nd Gate, Block No.13,  Door No.304, Mansoorabad , L B Nagar, Hyderabad 500068</t>
  </si>
  <si>
    <t>b.narsimhulu@signutra.com</t>
  </si>
  <si>
    <t>Hafsa Noorain Khan</t>
  </si>
  <si>
    <t>Bangaluru 1</t>
  </si>
  <si>
    <t>#17, 002, al quba paradise apartment 3rd cross md block Malleswaram Bangalore 560003</t>
  </si>
  <si>
    <t>hafsanoorain.khan@signutra.com</t>
  </si>
  <si>
    <t>G R Rahul</t>
  </si>
  <si>
    <t>Bangaluru 2</t>
  </si>
  <si>
    <t xml:space="preserve">374/A Mysore Bank Colony,80 Feet Road,12Th Main, Srinivasanagara, Bhanashankari 3Rd Stage-560085 (Land Mark Kanthi Sweets) </t>
  </si>
  <si>
    <t>GR.rahul@Signutra.com</t>
  </si>
  <si>
    <t>Chandana MS</t>
  </si>
  <si>
    <t>Andhra Pradesh</t>
  </si>
  <si>
    <t>Bangaluru 3</t>
  </si>
  <si>
    <t>ARIYILLAM, No. 37, 3rd Cross, 2nd Main, Doctors Colony, Konanakunte, Bangalore – 560062</t>
  </si>
  <si>
    <t>Chandana@signutra.com</t>
  </si>
  <si>
    <t>Balijepalli Sivaprasad</t>
  </si>
  <si>
    <t>Vijayawada</t>
  </si>
  <si>
    <t>76-14-16, Teacher Colony,Near Kondaveedu Kalyanmandapam, Swathi Road, Bhavanipuram,Vijayawada, Andhra Pradesh – 520012.</t>
  </si>
  <si>
    <t>balijepalli.sivaprasad@signutra.com</t>
  </si>
  <si>
    <t>Urrakula Poli Naidu</t>
  </si>
  <si>
    <t>Vizag</t>
  </si>
  <si>
    <t>Sri Sai Nilayam 4-173, Beside Keerthi School, Sundhar Nagar Colony, Adharsnagar Old Dairy Form Road- 530040 Visakhapatnam</t>
  </si>
  <si>
    <t>urrakula.poli@signutra.com</t>
  </si>
  <si>
    <t>Pravita Hari</t>
  </si>
  <si>
    <t>Kerala</t>
  </si>
  <si>
    <t>Trivandrum</t>
  </si>
  <si>
    <t>Rajalakshmi B</t>
  </si>
  <si>
    <t>Tamil Nadu</t>
  </si>
  <si>
    <t>Chennai 1</t>
  </si>
  <si>
    <t>Plot no:11, G2, Sai Ariyasana Flats, Vithya Nagar 2nd Street, Ullagaram, Chennai- 600091</t>
  </si>
  <si>
    <t>Rajalakshmi.B@Signutra.com</t>
  </si>
  <si>
    <t>Fazuludeen G</t>
  </si>
  <si>
    <t>Chennai 2</t>
  </si>
  <si>
    <t>No:81/105 2nd floor Mannar swamy kovil street Perambur barracks road pulianthope Chennai -600012</t>
  </si>
  <si>
    <t>Fazuludeen.G@signutra.com</t>
  </si>
  <si>
    <t>Balaji Pannirselvam</t>
  </si>
  <si>
    <t xml:space="preserve">Coimbatore 1 </t>
  </si>
  <si>
    <t>55/1, Sakthi Nagar, Chinnavedampatti, Coimbatore, Pin Code : 641 049</t>
  </si>
  <si>
    <t>Balaji.pannirselvam@signutra.com</t>
  </si>
  <si>
    <t>Akshay S Nair</t>
  </si>
  <si>
    <t>Souparnika Hut,MNRA  A28,mla Road Kudappanakunnu P.O Trivandrum,Pin-695043</t>
  </si>
  <si>
    <t>Akshay.nair@signutra.com</t>
  </si>
  <si>
    <r>
      <rPr>
        <sz val="7"/>
        <rFont val="Arial MT"/>
        <family val="2"/>
      </rPr>
      <t>IN26280</t>
    </r>
  </si>
  <si>
    <r>
      <rPr>
        <sz val="7"/>
        <rFont val="Arial MT"/>
        <family val="2"/>
      </rPr>
      <t>INST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Pharmacy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Head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KIT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SIGN/INST/SIG/2026/JUL/325</t>
    </r>
  </si>
  <si>
    <r>
      <rPr>
        <sz val="7"/>
        <rFont val="Arial MT"/>
        <family val="2"/>
      </rPr>
      <t>IN25091</t>
    </r>
  </si>
  <si>
    <r>
      <rPr>
        <sz val="7"/>
        <rFont val="Arial MT"/>
        <family val="2"/>
      </rPr>
      <t>Institutional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Signutra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Carry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Bag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WMPL/H&amp;N/SIGN/SIG/INST/2025/JAN/0</t>
    </r>
  </si>
  <si>
    <r>
      <rPr>
        <sz val="7"/>
        <rFont val="Arial MT"/>
        <family val="2"/>
      </rPr>
      <t>IN26163</t>
    </r>
  </si>
  <si>
    <r>
      <rPr>
        <sz val="7"/>
        <rFont val="Arial MT"/>
        <family val="2"/>
      </rPr>
      <t>Institutional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Bombay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Shaving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Grooming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K</t>
    </r>
    <r>
      <rPr>
        <sz val="7"/>
        <rFont val="Times New Roman"/>
        <family val="1"/>
      </rPr>
      <t xml:space="preserve"> </t>
    </r>
    <r>
      <rPr>
        <sz val="7"/>
        <rFont val="Arial MT"/>
        <family val="2"/>
      </rPr>
      <t>SIGN/INST/GIV/2026/APR/161</t>
    </r>
  </si>
  <si>
    <t>Name of Employee</t>
  </si>
  <si>
    <t>BDM/KAM</t>
  </si>
  <si>
    <t>Raj kumar</t>
  </si>
  <si>
    <t>KAM</t>
  </si>
  <si>
    <t>VARANASI</t>
  </si>
  <si>
    <t>KANPUR</t>
  </si>
  <si>
    <t>Chandan Verma</t>
  </si>
  <si>
    <t>Vikas Nikumbh</t>
  </si>
  <si>
    <t>Niranjan Sahu</t>
  </si>
  <si>
    <t>Bhubaneshwar</t>
  </si>
  <si>
    <t>Nilesh</t>
  </si>
  <si>
    <r>
      <rPr>
        <sz val="8"/>
        <rFont val="Arial MT"/>
        <family val="2"/>
      </rPr>
      <t>IN26235</t>
    </r>
  </si>
  <si>
    <r>
      <rPr>
        <sz val="8"/>
        <rFont val="Arial MT"/>
        <family val="2"/>
      </rPr>
      <t>IN26094</t>
    </r>
  </si>
  <si>
    <r>
      <rPr>
        <sz val="8"/>
        <rFont val="Arial MT"/>
        <family val="2"/>
      </rPr>
      <t>IN26113</t>
    </r>
  </si>
  <si>
    <r>
      <rPr>
        <sz val="8"/>
        <rFont val="Arial MT"/>
        <family val="2"/>
      </rPr>
      <t>IN23434</t>
    </r>
  </si>
  <si>
    <r>
      <rPr>
        <sz val="8"/>
        <rFont val="Arial MT"/>
        <family val="2"/>
      </rPr>
      <t>IN26095</t>
    </r>
  </si>
  <si>
    <r>
      <rPr>
        <sz val="8"/>
        <rFont val="Arial MT"/>
        <family val="2"/>
      </rPr>
      <t>IN26096</t>
    </r>
  </si>
  <si>
    <r>
      <rPr>
        <sz val="8"/>
        <rFont val="Arial MT"/>
        <family val="2"/>
      </rPr>
      <t>IN26250</t>
    </r>
  </si>
  <si>
    <r>
      <rPr>
        <sz val="8"/>
        <rFont val="Arial MT"/>
        <family val="2"/>
      </rPr>
      <t>AN26272</t>
    </r>
  </si>
  <si>
    <r>
      <rPr>
        <sz val="8"/>
        <rFont val="Arial MT"/>
        <family val="2"/>
      </rPr>
      <t>PI25481</t>
    </r>
  </si>
  <si>
    <r>
      <rPr>
        <sz val="8"/>
        <rFont val="Arial MT"/>
        <family val="2"/>
      </rPr>
      <t>IN24034</t>
    </r>
  </si>
  <si>
    <r>
      <rPr>
        <sz val="8"/>
        <rFont val="Arial MT"/>
        <family val="2"/>
      </rPr>
      <t>IN25248</t>
    </r>
  </si>
  <si>
    <r>
      <rPr>
        <sz val="8"/>
        <rFont val="Arial MT"/>
        <family val="2"/>
      </rPr>
      <t>IN26027</t>
    </r>
  </si>
  <si>
    <r>
      <rPr>
        <sz val="8"/>
        <rFont val="Arial MT"/>
        <family val="2"/>
      </rPr>
      <t>IN26036</t>
    </r>
  </si>
  <si>
    <r>
      <rPr>
        <sz val="8"/>
        <rFont val="Arial MT"/>
        <family val="2"/>
      </rPr>
      <t>Institutional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Revlon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Beauty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KIT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NA</t>
    </r>
  </si>
  <si>
    <r>
      <rPr>
        <sz val="8"/>
        <rFont val="Arial MT"/>
        <family val="2"/>
      </rPr>
      <t>Vidavance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Tub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Shape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LBL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WMPL/H&amp;N/SIGN/VID/COM/2023/MAR/</t>
    </r>
  </si>
  <si>
    <r>
      <rPr>
        <sz val="8"/>
        <rFont val="Arial MT"/>
        <family val="2"/>
      </rPr>
      <t>INST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Maxvida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Tub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Shape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LBL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SIGN/MAXH/COM/2026/FEB/055</t>
    </r>
  </si>
  <si>
    <r>
      <rPr>
        <sz val="8"/>
        <rFont val="Arial MT"/>
        <family val="2"/>
      </rPr>
      <t>Maxvida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HPHF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Tub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Shape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LBL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-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Institutio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WMPL/H&amp;N/SIGN/SIG/HPHF/COM/2023</t>
    </r>
  </si>
  <si>
    <r>
      <rPr>
        <sz val="8"/>
        <rFont val="Arial MT"/>
        <family val="2"/>
      </rPr>
      <t>Maxvida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HPHF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Tub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LBL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WMPL/H&amp;N/SIGN/SIG/HPHF/COM/2023</t>
    </r>
  </si>
  <si>
    <r>
      <rPr>
        <sz val="8"/>
        <rFont val="Arial MT"/>
        <family val="2"/>
      </rPr>
      <t>Groviva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Gold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Trub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Shape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LBL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WMPL/H&amp;N/SIGN/GROG/COM/2025/MA</t>
    </r>
  </si>
  <si>
    <r>
      <rPr>
        <sz val="8"/>
        <rFont val="Arial MT"/>
        <family val="2"/>
      </rPr>
      <t>Institutional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Maxvida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Pen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SIGN/INST/MAXH/2026/JUN/280</t>
    </r>
  </si>
  <si>
    <r>
      <rPr>
        <sz val="8"/>
        <rFont val="Arial MT"/>
        <family val="2"/>
      </rPr>
      <t>Maxvida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HPHF/Vidavance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INST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Reminde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WMPL/H&amp;N/SIGN/INSTCOM/2024/JUN/</t>
    </r>
  </si>
  <si>
    <r>
      <rPr>
        <sz val="8"/>
        <rFont val="Arial MT"/>
        <family val="2"/>
      </rPr>
      <t>Nutramil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Feeding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Instruction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Leaflet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with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WMPL/H&amp;N/SIGN/NMIL/COM/2025/JUN</t>
    </r>
  </si>
  <si>
    <r>
      <rPr>
        <sz val="8"/>
        <rFont val="Arial MT"/>
        <family val="2"/>
      </rPr>
      <t>REVLON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CHARLIE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PERFUMED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BODY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NA</t>
    </r>
  </si>
  <si>
    <r>
      <rPr>
        <sz val="8"/>
        <rFont val="Arial MT"/>
        <family val="2"/>
      </rPr>
      <t>Institutional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Maxvida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Chit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Pad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WMPL/H&amp;N/SIGN/MAX/COM/2025/JAN/</t>
    </r>
  </si>
  <si>
    <r>
      <rPr>
        <sz val="8"/>
        <rFont val="Arial MT"/>
        <family val="2"/>
      </rPr>
      <t>Institutional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Fuzo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Bottle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SIGN/INST/GIV/2026/JAN/030</t>
    </r>
  </si>
  <si>
    <r>
      <rPr>
        <sz val="8"/>
        <rFont val="Arial MT"/>
        <family val="2"/>
      </rPr>
      <t>Institutional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Glass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Bottle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with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Sleeve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SIGN/INST/GIV/2026/JAN/030</t>
    </r>
  </si>
  <si>
    <t xml:space="preserve">Akshit Aggarwal </t>
  </si>
  <si>
    <t xml:space="preserve">Priya rawal </t>
  </si>
  <si>
    <t xml:space="preserve">Rakesh </t>
  </si>
  <si>
    <t>Saikat</t>
  </si>
  <si>
    <t xml:space="preserve">Sarita </t>
  </si>
  <si>
    <t>Shalini</t>
  </si>
  <si>
    <t xml:space="preserve">Sher Mod </t>
  </si>
  <si>
    <t xml:space="preserve">Sourav Thakur </t>
  </si>
  <si>
    <t xml:space="preserve">Sovan </t>
  </si>
  <si>
    <t>Niranjan Nadre</t>
  </si>
  <si>
    <t>Abhishek Singh</t>
  </si>
  <si>
    <t>Mayank</t>
  </si>
  <si>
    <t>Balvinder</t>
  </si>
  <si>
    <t>Sumit</t>
  </si>
  <si>
    <t>Ajeet</t>
  </si>
  <si>
    <t>Alpesh</t>
  </si>
  <si>
    <t>Ramsurat</t>
  </si>
  <si>
    <t>Rahul</t>
  </si>
  <si>
    <t>Poli Naidu</t>
  </si>
  <si>
    <t>Narsumhulu</t>
  </si>
  <si>
    <t>Sivaprsad</t>
  </si>
  <si>
    <t>Differential</t>
  </si>
  <si>
    <t>SITE_CODE__SHIP</t>
  </si>
  <si>
    <t>SITE_CODE__DLV</t>
  </si>
  <si>
    <t>REMARKS</t>
  </si>
  <si>
    <t>SALES_PERS</t>
  </si>
  <si>
    <t>PROJ_CODE</t>
  </si>
  <si>
    <t>ITEM_CODE</t>
  </si>
  <si>
    <t>ORDER_TYPE</t>
  </si>
  <si>
    <t>TRAN_TYPE</t>
  </si>
  <si>
    <t>WM0X1</t>
  </si>
  <si>
    <t>WM0K1</t>
  </si>
  <si>
    <t>WMOQ1</t>
  </si>
  <si>
    <t>WM0L1</t>
  </si>
  <si>
    <t>WM0J1</t>
  </si>
  <si>
    <t>WM0F1</t>
  </si>
  <si>
    <t>WM0N1</t>
  </si>
  <si>
    <t>WM0M1</t>
  </si>
  <si>
    <t>WM0B1</t>
  </si>
  <si>
    <t>WM0D1</t>
  </si>
  <si>
    <t>WM0S1</t>
  </si>
  <si>
    <t>WM0E1</t>
  </si>
  <si>
    <t>BOX - 2  WEIGHT - 20</t>
  </si>
  <si>
    <t>WNUN2100</t>
  </si>
  <si>
    <t>WNUN1635</t>
  </si>
  <si>
    <t>WNUN2224</t>
  </si>
  <si>
    <t>WNUN1444</t>
  </si>
  <si>
    <t>WNUN2271</t>
  </si>
  <si>
    <t>WNUN2265</t>
  </si>
  <si>
    <t>WNUN1795</t>
  </si>
  <si>
    <t>WNUN2264</t>
  </si>
  <si>
    <t>WNUN2367</t>
  </si>
  <si>
    <t>WNUN1512</t>
  </si>
  <si>
    <t>WNUN2135</t>
  </si>
  <si>
    <t>WNUN1558</t>
  </si>
  <si>
    <t>WNUN2117</t>
  </si>
  <si>
    <t>WNUN2159</t>
  </si>
  <si>
    <t>WNUN1776</t>
  </si>
  <si>
    <t>WNUN1758</t>
  </si>
  <si>
    <t>WNUN2211</t>
  </si>
  <si>
    <t>WNUN1781</t>
  </si>
  <si>
    <t>WNUN2261</t>
  </si>
  <si>
    <t>WNUN2322</t>
  </si>
  <si>
    <t>WNUN1462</t>
  </si>
  <si>
    <t>WNUN1833</t>
  </si>
  <si>
    <t>WNUN1775</t>
  </si>
  <si>
    <t>WNUN2336</t>
  </si>
  <si>
    <t>WNUN1760</t>
  </si>
  <si>
    <t>WNUN2266</t>
  </si>
  <si>
    <t>WNUN1838</t>
  </si>
  <si>
    <t>WNUN1516</t>
  </si>
  <si>
    <t>WNUN2297</t>
  </si>
  <si>
    <t>WNUN2328</t>
  </si>
  <si>
    <t>WNUN2136</t>
  </si>
  <si>
    <t>WNUN2114</t>
  </si>
  <si>
    <t>INS01</t>
  </si>
  <si>
    <r>
      <rPr>
        <sz val="9"/>
        <color theme="1"/>
        <rFont val="Arial MT"/>
        <family val="2"/>
      </rPr>
      <t>IN26280</t>
    </r>
  </si>
  <si>
    <r>
      <rPr>
        <sz val="9"/>
        <color theme="1"/>
        <rFont val="Arial MT"/>
        <family val="2"/>
      </rPr>
      <t>IN25091</t>
    </r>
  </si>
  <si>
    <r>
      <rPr>
        <sz val="9"/>
        <color theme="1"/>
        <rFont val="Arial MT"/>
        <family val="2"/>
      </rPr>
      <t>IN26163</t>
    </r>
  </si>
  <si>
    <r>
      <rPr>
        <sz val="9"/>
        <color theme="1"/>
        <rFont val="Arial MT"/>
        <family val="2"/>
      </rPr>
      <t>IN26235</t>
    </r>
  </si>
  <si>
    <r>
      <rPr>
        <sz val="9"/>
        <color theme="1"/>
        <rFont val="Arial MT"/>
        <family val="2"/>
      </rPr>
      <t>IN26094</t>
    </r>
  </si>
  <si>
    <r>
      <rPr>
        <sz val="9"/>
        <color theme="1"/>
        <rFont val="Arial MT"/>
        <family val="2"/>
      </rPr>
      <t>IN26113</t>
    </r>
  </si>
  <si>
    <r>
      <rPr>
        <sz val="9"/>
        <color theme="1"/>
        <rFont val="Arial MT"/>
        <family val="2"/>
      </rPr>
      <t>IN23434</t>
    </r>
  </si>
  <si>
    <r>
      <rPr>
        <sz val="9"/>
        <color theme="1"/>
        <rFont val="Arial MT"/>
        <family val="2"/>
      </rPr>
      <t>IN26095</t>
    </r>
  </si>
  <si>
    <r>
      <rPr>
        <sz val="9"/>
        <color theme="1"/>
        <rFont val="Arial MT"/>
        <family val="2"/>
      </rPr>
      <t>IN26096</t>
    </r>
  </si>
  <si>
    <r>
      <rPr>
        <sz val="9"/>
        <color theme="1"/>
        <rFont val="Arial MT"/>
        <family val="2"/>
      </rPr>
      <t>IN26250</t>
    </r>
  </si>
  <si>
    <r>
      <rPr>
        <sz val="9"/>
        <color theme="1"/>
        <rFont val="Arial MT"/>
        <family val="2"/>
      </rPr>
      <t>AN26272</t>
    </r>
  </si>
  <si>
    <r>
      <rPr>
        <sz val="9"/>
        <color theme="1"/>
        <rFont val="Arial MT"/>
        <family val="2"/>
      </rPr>
      <t>PI25481</t>
    </r>
  </si>
  <si>
    <r>
      <rPr>
        <sz val="9"/>
        <color theme="1"/>
        <rFont val="Arial MT"/>
        <family val="2"/>
      </rPr>
      <t>IN24034</t>
    </r>
  </si>
  <si>
    <r>
      <rPr>
        <sz val="9"/>
        <color theme="1"/>
        <rFont val="Arial MT"/>
        <family val="2"/>
      </rPr>
      <t>IN25248</t>
    </r>
  </si>
  <si>
    <r>
      <rPr>
        <sz val="9"/>
        <color theme="1"/>
        <rFont val="Arial MT"/>
        <family val="2"/>
      </rPr>
      <t>IN26027</t>
    </r>
  </si>
  <si>
    <r>
      <rPr>
        <sz val="9"/>
        <color theme="1"/>
        <rFont val="Arial MT"/>
        <family val="2"/>
      </rPr>
      <t>IN26036</t>
    </r>
  </si>
  <si>
    <r>
      <rPr>
        <sz val="9"/>
        <color theme="1"/>
        <rFont val="Arial MT"/>
        <family val="2"/>
      </rPr>
      <t>INST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Pharmacy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Head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KIT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SIGN/INST/SIG/2026/JUL/325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</si>
  <si>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Signutra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Carry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Bag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WMPL/H&amp;N/SIGN/SIG/INST/2025/JAN/0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</si>
  <si>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Bombay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Shaving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Grooming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K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SIGN/INST/GIV/2026/APR/161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</si>
  <si>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Revlon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Beauty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KIT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NA</t>
    </r>
  </si>
  <si>
    <r>
      <rPr>
        <sz val="9"/>
        <color theme="1"/>
        <rFont val="Arial MT"/>
        <family val="2"/>
      </rPr>
      <t>Vidavance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Tub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Shape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LBL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WMPL/H&amp;N/SIGN/VID/COM/2023/MAR/</t>
    </r>
  </si>
  <si>
    <r>
      <rPr>
        <sz val="9"/>
        <color theme="1"/>
        <rFont val="Arial MT"/>
        <family val="2"/>
      </rPr>
      <t>INST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Maxvida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HP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Tub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Shape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LBL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SIGN/MAXH/COM/2026/FEB/055</t>
    </r>
  </si>
  <si>
    <r>
      <rPr>
        <sz val="9"/>
        <color theme="1"/>
        <rFont val="Arial MT"/>
        <family val="2"/>
      </rPr>
      <t>Maxvida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HPHF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Tub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Shape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LBL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-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Institutio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WMPL/H&amp;N/SIGN/SIG/HPHF/COM/2023</t>
    </r>
  </si>
  <si>
    <r>
      <rPr>
        <sz val="9"/>
        <color theme="1"/>
        <rFont val="Arial MT"/>
        <family val="2"/>
      </rPr>
      <t>Maxvida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HPHF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Tub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LBL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WMPL/H&amp;N/SIGN/SIG/HPHF/COM/2023</t>
    </r>
  </si>
  <si>
    <r>
      <rPr>
        <sz val="9"/>
        <color theme="1"/>
        <rFont val="Arial MT"/>
        <family val="2"/>
      </rPr>
      <t>Groviva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Gold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Trub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Shape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LBL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WMPL/H&amp;N/SIGN/GROG/COM/2025/MA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</si>
  <si>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Maxvida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HP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Pen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SIGN/INST/MAXH/2026/JUN/280</t>
    </r>
  </si>
  <si>
    <r>
      <rPr>
        <sz val="9"/>
        <color theme="1"/>
        <rFont val="Arial MT"/>
        <family val="2"/>
      </rPr>
      <t>Maxvida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HPHF/Vidavance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INST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Reminde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WMPL/H&amp;N/SIGN/INSTCOM/2024/JUN/</t>
    </r>
  </si>
  <si>
    <r>
      <rPr>
        <sz val="9"/>
        <color theme="1"/>
        <rFont val="Arial MT"/>
        <family val="2"/>
      </rPr>
      <t>Nutramil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Feeding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Instruction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Leaflet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with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WMPL/H&amp;N/SIGN/NMIL/COM/2025/JUN</t>
    </r>
  </si>
  <si>
    <r>
      <rPr>
        <sz val="9"/>
        <color theme="1"/>
        <rFont val="Arial MT"/>
        <family val="2"/>
      </rPr>
      <t>REVLON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CHARLIE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PERFUMED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BODY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NA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</si>
  <si>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Maxvida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Arial MT"/>
        <family val="2"/>
      </rPr>
      <t>Chit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Pad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WMPL/H&amp;N/SIGN/MAX/COM/2025/JAN/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</si>
  <si>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Fuzo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Bottle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SIGN/INST/GIV/2026/JAN/030</t>
    </r>
  </si>
  <si>
    <r>
      <rPr>
        <sz val="9"/>
        <color theme="1"/>
        <rFont val="Arial MT"/>
        <family val="2"/>
      </rPr>
      <t>Institutional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Glass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Bottle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with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Sleeve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Arial MT"/>
        <family val="2"/>
      </rPr>
      <t>SIGN/INST/GIV/2026/JAN/030</t>
    </r>
  </si>
  <si>
    <t>WMAX002Q</t>
  </si>
  <si>
    <t>WMAX002O</t>
  </si>
  <si>
    <t>WMAX002R</t>
  </si>
  <si>
    <t>WMAX002P</t>
  </si>
  <si>
    <t>WVID002B</t>
  </si>
  <si>
    <t>WVID002A</t>
  </si>
  <si>
    <t>WMAX002N</t>
  </si>
  <si>
    <t>WVID002I</t>
  </si>
  <si>
    <t>WGRO002Z</t>
  </si>
  <si>
    <t>WGGC0022</t>
  </si>
  <si>
    <t>WGGS0021</t>
  </si>
  <si>
    <t>PS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</si>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</sst>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Aptos"/>
      <family val="2"/>
    </font>
    <font>
      <sz val="8"/>
      <color theme="1"/>
      <name val="Aptos Narrow"/>
      <family val="2"/>
      <scheme val="minor"/>
    </font>
    <font>
      <sz val="7"/>
      <name val="Arial MT"/>
    </font>
    <font>
      <sz val="7"/>
      <name val="Arial MT"/>
      <family val="2"/>
    </font>
    <font>
      <sz val="7"/>
      <name val="Times New Roman"/>
      <family val="1"/>
    </font>
    <font>
      <sz val="12"/>
      <color rgb="FF000000"/>
      <name val="Aptos Narrow"/>
      <family val="2"/>
    </font>
    <font>
      <sz val="8"/>
      <name val="Arial MT"/>
    </font>
    <font>
      <sz val="8"/>
      <name val="Arial MT"/>
      <family val="2"/>
    </font>
    <font>
      <sz val="8"/>
      <name val="Times New Roman"/>
      <family val="1"/>
    </font>
    <font>
      <sz val="9"/>
      <color theme="1"/>
      <name val="Arial MT"/>
    </font>
    <font>
      <sz val="9"/>
      <color theme="1"/>
      <name val="Arial MT"/>
      <family val="2"/>
    </font>
    <font>
      <sz val="9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D97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center" vertical="top" wrapText="1"/>
    </xf>
    <xf numFmtId="0" fontId="0" fillId="11" borderId="0" xfId="0" applyFill="1"/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9" fillId="0" borderId="1" xfId="0" applyFont="1" applyBorder="1"/>
    <xf numFmtId="0" fontId="1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14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4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center" wrapText="1"/>
    </xf>
    <xf numFmtId="15" fontId="7" fillId="2" borderId="1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wrapText="1"/>
    </xf>
    <xf numFmtId="0" fontId="17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7" fillId="2" borderId="1" xfId="0" quotePrefix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35">
    <dxf>
      <font>
        <color rgb="FFFF0000"/>
      </font>
    </dxf>
    <dxf>
      <font>
        <color rgb="FFEE0000"/>
      </font>
    </dxf>
    <dxf>
      <font>
        <strike val="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EE0000"/>
      </font>
    </dxf>
    <dxf>
      <font>
        <strike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strike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ranjan.sahoo@signutra.com" TargetMode="External"/><Relationship Id="rId13" Type="http://schemas.openxmlformats.org/officeDocument/2006/relationships/hyperlink" Target="mailto:Ajeet.singh@signutra.com" TargetMode="External"/><Relationship Id="rId3" Type="http://schemas.openxmlformats.org/officeDocument/2006/relationships/hyperlink" Target="mailto:Sourav.thakur@signutra.com" TargetMode="External"/><Relationship Id="rId7" Type="http://schemas.openxmlformats.org/officeDocument/2006/relationships/hyperlink" Target="mailto:balvindar.singh@signutra.com" TargetMode="External"/><Relationship Id="rId12" Type="http://schemas.openxmlformats.org/officeDocument/2006/relationships/hyperlink" Target="mailto:chandan.kumar@signutra.com" TargetMode="External"/><Relationship Id="rId17" Type="http://schemas.openxmlformats.org/officeDocument/2006/relationships/hyperlink" Target="mailto:Fazuludeen.G@signutra.com" TargetMode="External"/><Relationship Id="rId2" Type="http://schemas.openxmlformats.org/officeDocument/2006/relationships/hyperlink" Target="mailto:Sumit.singh@signutra.com" TargetMode="External"/><Relationship Id="rId16" Type="http://schemas.openxmlformats.org/officeDocument/2006/relationships/hyperlink" Target="mailto:Chandana@signutra.com" TargetMode="External"/><Relationship Id="rId1" Type="http://schemas.openxmlformats.org/officeDocument/2006/relationships/hyperlink" Target="mailto:Kundan.mishra@signutra.com" TargetMode="External"/><Relationship Id="rId6" Type="http://schemas.openxmlformats.org/officeDocument/2006/relationships/hyperlink" Target="mailto:Mayank.kesharwani@signutra.com" TargetMode="External"/><Relationship Id="rId11" Type="http://schemas.openxmlformats.org/officeDocument/2006/relationships/hyperlink" Target="mailto:sher.mohammad@signutra.com" TargetMode="External"/><Relationship Id="rId5" Type="http://schemas.openxmlformats.org/officeDocument/2006/relationships/hyperlink" Target="mailto:GR.rahul@Signutra.com" TargetMode="External"/><Relationship Id="rId15" Type="http://schemas.openxmlformats.org/officeDocument/2006/relationships/hyperlink" Target="mailto:Syed.sohail@signutra.com" TargetMode="External"/><Relationship Id="rId10" Type="http://schemas.openxmlformats.org/officeDocument/2006/relationships/hyperlink" Target="mailto:sarita.rai@signutra.com" TargetMode="External"/><Relationship Id="rId4" Type="http://schemas.openxmlformats.org/officeDocument/2006/relationships/hyperlink" Target="mailto:urrakula.poli@signutra.com" TargetMode="External"/><Relationship Id="rId9" Type="http://schemas.openxmlformats.org/officeDocument/2006/relationships/hyperlink" Target="mailto:Abhishek.singh@signutra.com" TargetMode="External"/><Relationship Id="rId14" Type="http://schemas.openxmlformats.org/officeDocument/2006/relationships/hyperlink" Target="mailto:Saikat.sarkar@sign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A766-C9DA-477E-9396-68366F135797}">
  <dimension ref="A1:BC38"/>
  <sheetViews>
    <sheetView tabSelected="1" topLeftCell="D1" zoomScale="92" workbookViewId="0">
      <selection activeCell="D1" sqref="D1"/>
    </sheetView>
  </sheetViews>
  <sheetFormatPr defaultRowHeight="15"/>
  <cols>
    <col min="1" max="1" width="0" style="10" hidden="1" customWidth="1"/>
    <col min="2" max="3" width="0" hidden="1" customWidth="1"/>
    <col min="4" max="4" width="31.140625" customWidth="1"/>
    <col min="5" max="5" width="15" customWidth="1"/>
    <col min="6" max="6" width="14" customWidth="1"/>
    <col min="7" max="7" width="17.140625" customWidth="1"/>
    <col min="8" max="8" width="11" customWidth="1"/>
    <col min="9" max="9" width="9.85546875" customWidth="1"/>
    <col min="10" max="10" width="0.140625" customWidth="1"/>
    <col min="11" max="11" width="11.5703125" customWidth="1"/>
    <col min="12" max="16" width="9.140625" hidden="1" customWidth="1"/>
    <col min="17" max="17" width="28.7109375" hidden="1" customWidth="1"/>
    <col min="18" max="18" width="11.28515625" customWidth="1"/>
    <col min="19" max="23" width="9.140625" customWidth="1"/>
    <col min="24" max="27" width="9.140625" hidden="1" customWidth="1"/>
    <col min="28" max="28" width="9.140625" customWidth="1"/>
    <col min="29" max="31" width="9.140625" hidden="1" customWidth="1"/>
    <col min="32" max="32" width="9.140625" customWidth="1"/>
    <col min="33" max="33" width="9.140625" hidden="1" customWidth="1"/>
    <col min="34" max="34" width="9.140625" customWidth="1"/>
    <col min="35" max="35" width="9.140625" hidden="1" customWidth="1"/>
    <col min="36" max="36" width="9.140625" customWidth="1"/>
    <col min="37" max="37" width="9" customWidth="1"/>
    <col min="38" max="42" width="9.140625" hidden="1" customWidth="1"/>
    <col min="43" max="49" width="9.140625" customWidth="1"/>
    <col min="52" max="52" width="0" hidden="1" customWidth="1"/>
    <col min="54" max="54" width="0" hidden="1" customWidth="1"/>
  </cols>
  <sheetData>
    <row r="1" spans="1:55">
      <c r="A1" s="15"/>
      <c r="B1" s="16"/>
      <c r="C1" s="16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</row>
    <row r="2" spans="1:55">
      <c r="A2" s="15"/>
      <c r="B2" s="16"/>
      <c r="C2" s="1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Z2" s="42" t="s">
        <v>332</v>
      </c>
      <c r="BB2" s="42" t="s">
        <v>334</v>
      </c>
      <c r="BC2" s="42"/>
    </row>
    <row r="3" spans="1:55" ht="120">
      <c r="A3" s="11" t="s">
        <v>0</v>
      </c>
      <c r="B3" s="1" t="s">
        <v>1</v>
      </c>
      <c r="C3" s="1" t="s">
        <v>2</v>
      </c>
      <c r="E3" s="47" t="s">
        <v>266</v>
      </c>
      <c r="F3" s="48" t="s">
        <v>267</v>
      </c>
      <c r="G3" s="48" t="s">
        <v>268</v>
      </c>
      <c r="H3" s="48" t="s">
        <v>269</v>
      </c>
      <c r="I3" s="49" t="s">
        <v>270</v>
      </c>
      <c r="J3" s="43" t="s">
        <v>3</v>
      </c>
      <c r="K3" s="43" t="s">
        <v>4</v>
      </c>
      <c r="L3" s="43" t="s">
        <v>5</v>
      </c>
      <c r="M3" s="43" t="s">
        <v>6</v>
      </c>
      <c r="N3" s="43" t="s">
        <v>7</v>
      </c>
      <c r="O3" s="43" t="s">
        <v>8</v>
      </c>
      <c r="P3" s="43" t="s">
        <v>9</v>
      </c>
      <c r="Q3" s="43" t="s">
        <v>10</v>
      </c>
      <c r="R3" s="36" t="s">
        <v>11</v>
      </c>
      <c r="S3" s="36" t="s">
        <v>12</v>
      </c>
      <c r="T3" s="36" t="s">
        <v>13</v>
      </c>
      <c r="U3" s="36" t="s">
        <v>14</v>
      </c>
      <c r="V3" s="36" t="s">
        <v>15</v>
      </c>
      <c r="W3" s="36" t="s">
        <v>16</v>
      </c>
      <c r="X3" s="36" t="s">
        <v>17</v>
      </c>
      <c r="Y3" s="36" t="s">
        <v>18</v>
      </c>
      <c r="Z3" s="36" t="s">
        <v>19</v>
      </c>
      <c r="AA3" s="36" t="s">
        <v>20</v>
      </c>
      <c r="AB3" s="36" t="s">
        <v>21</v>
      </c>
      <c r="AC3" s="36" t="s">
        <v>22</v>
      </c>
      <c r="AD3" s="32" t="s">
        <v>23</v>
      </c>
      <c r="AE3" s="32" t="s">
        <v>24</v>
      </c>
      <c r="AF3" s="32" t="s">
        <v>25</v>
      </c>
      <c r="AG3" s="32" t="s">
        <v>26</v>
      </c>
      <c r="AH3" s="32" t="s">
        <v>27</v>
      </c>
      <c r="AI3" s="32" t="s">
        <v>28</v>
      </c>
      <c r="AJ3" s="32" t="s">
        <v>29</v>
      </c>
      <c r="AK3" s="32" t="s">
        <v>30</v>
      </c>
      <c r="AL3" s="32" t="s">
        <v>31</v>
      </c>
      <c r="AM3" s="36" t="s">
        <v>32</v>
      </c>
      <c r="AN3" s="32" t="s">
        <v>336</v>
      </c>
      <c r="AO3" s="32" t="s">
        <v>337</v>
      </c>
      <c r="AP3" s="32" t="s">
        <v>338</v>
      </c>
      <c r="AQ3" s="32" t="s">
        <v>339</v>
      </c>
      <c r="AR3" s="32" t="s">
        <v>340</v>
      </c>
      <c r="AS3" s="32" t="s">
        <v>341</v>
      </c>
      <c r="AT3" s="32" t="s">
        <v>342</v>
      </c>
      <c r="AU3" s="32" t="s">
        <v>343</v>
      </c>
      <c r="AV3" s="32" t="s">
        <v>344</v>
      </c>
      <c r="AW3" s="32" t="s">
        <v>345</v>
      </c>
      <c r="AX3" s="32" t="s">
        <v>346</v>
      </c>
      <c r="AY3" s="32" t="s">
        <v>347</v>
      </c>
      <c r="AZ3" s="32" t="s">
        <v>348</v>
      </c>
      <c r="BA3" s="32" t="s">
        <v>349</v>
      </c>
      <c r="BB3" s="32" t="s">
        <v>350</v>
      </c>
      <c r="BC3" s="32" t="s">
        <v>351</v>
      </c>
    </row>
    <row r="4" spans="1:55" ht="15" customHeight="1">
      <c r="A4" s="11"/>
      <c r="B4" s="1"/>
      <c r="C4" s="1"/>
      <c r="D4" s="35" t="s">
        <v>271</v>
      </c>
      <c r="E4" s="43"/>
      <c r="F4" s="43"/>
      <c r="G4" s="44"/>
      <c r="H4" s="44"/>
      <c r="I4" s="43"/>
      <c r="J4" s="43"/>
      <c r="K4" s="43"/>
      <c r="L4" s="43"/>
      <c r="M4" s="43"/>
      <c r="N4" s="43"/>
      <c r="O4" s="43"/>
      <c r="P4" s="43"/>
      <c r="Q4" s="43"/>
      <c r="R4" s="36" t="s">
        <v>352</v>
      </c>
      <c r="S4" s="36" t="s">
        <v>353</v>
      </c>
      <c r="T4" s="36" t="s">
        <v>354</v>
      </c>
      <c r="U4" s="36" t="s">
        <v>355</v>
      </c>
      <c r="V4" s="36" t="s">
        <v>356</v>
      </c>
      <c r="W4" s="36" t="s">
        <v>357</v>
      </c>
      <c r="X4" s="36"/>
      <c r="Y4" s="36"/>
      <c r="Z4" s="36"/>
      <c r="AA4" s="36"/>
      <c r="AB4" s="36" t="s">
        <v>358</v>
      </c>
      <c r="AC4" s="36"/>
      <c r="AD4" s="32"/>
      <c r="AE4" s="32"/>
      <c r="AF4" s="32" t="s">
        <v>359</v>
      </c>
      <c r="AG4" s="32"/>
      <c r="AH4" s="32" t="s">
        <v>360</v>
      </c>
      <c r="AI4" s="32"/>
      <c r="AJ4" s="32" t="s">
        <v>361</v>
      </c>
      <c r="AK4" s="32" t="s">
        <v>362</v>
      </c>
      <c r="AL4" s="32"/>
      <c r="AM4" s="36"/>
      <c r="AN4" s="42" t="s">
        <v>320</v>
      </c>
      <c r="AO4" s="42" t="s">
        <v>321</v>
      </c>
      <c r="AP4" s="42" t="s">
        <v>322</v>
      </c>
      <c r="AQ4" s="42" t="s">
        <v>323</v>
      </c>
      <c r="AR4" s="42" t="s">
        <v>324</v>
      </c>
      <c r="AS4" s="42" t="s">
        <v>325</v>
      </c>
      <c r="AT4" s="42" t="s">
        <v>326</v>
      </c>
      <c r="AU4" s="42" t="s">
        <v>327</v>
      </c>
      <c r="AV4" s="42" t="s">
        <v>328</v>
      </c>
      <c r="AW4" s="42" t="s">
        <v>329</v>
      </c>
      <c r="AX4" s="42" t="s">
        <v>330</v>
      </c>
      <c r="AY4" s="42" t="s">
        <v>331</v>
      </c>
      <c r="AZ4" s="32"/>
      <c r="BA4" s="42" t="s">
        <v>333</v>
      </c>
      <c r="BB4" s="32"/>
      <c r="BC4" s="42" t="s">
        <v>335</v>
      </c>
    </row>
    <row r="5" spans="1:55" ht="15" customHeight="1">
      <c r="A5" s="11"/>
      <c r="B5" s="1"/>
      <c r="C5" s="1"/>
      <c r="D5" s="35" t="s">
        <v>272</v>
      </c>
      <c r="E5" s="43"/>
      <c r="F5" s="43"/>
      <c r="G5" s="44"/>
      <c r="H5" s="44"/>
      <c r="I5" s="43"/>
      <c r="J5" s="43"/>
      <c r="K5" s="43"/>
      <c r="L5" s="43"/>
      <c r="M5" s="43"/>
      <c r="N5" s="43"/>
      <c r="O5" s="43"/>
      <c r="P5" s="43"/>
      <c r="Q5" s="43"/>
      <c r="R5" s="36" t="s">
        <v>363</v>
      </c>
      <c r="S5" s="36" t="s">
        <v>363</v>
      </c>
      <c r="T5" s="36" t="s">
        <v>363</v>
      </c>
      <c r="U5" s="36" t="s">
        <v>363</v>
      </c>
      <c r="V5" s="36" t="s">
        <v>363</v>
      </c>
      <c r="W5" s="36" t="s">
        <v>363</v>
      </c>
      <c r="X5" s="36" t="s">
        <v>363</v>
      </c>
      <c r="Y5" s="36" t="s">
        <v>363</v>
      </c>
      <c r="Z5" s="36" t="s">
        <v>363</v>
      </c>
      <c r="AA5" s="36" t="s">
        <v>363</v>
      </c>
      <c r="AB5" s="36" t="s">
        <v>363</v>
      </c>
      <c r="AC5" s="36" t="s">
        <v>363</v>
      </c>
      <c r="AD5" s="36" t="s">
        <v>363</v>
      </c>
      <c r="AE5" s="36" t="s">
        <v>363</v>
      </c>
      <c r="AF5" s="36" t="s">
        <v>363</v>
      </c>
      <c r="AG5" s="36" t="s">
        <v>363</v>
      </c>
      <c r="AH5" s="36" t="s">
        <v>363</v>
      </c>
      <c r="AI5" s="36" t="s">
        <v>363</v>
      </c>
      <c r="AJ5" s="36" t="s">
        <v>363</v>
      </c>
      <c r="AK5" s="36" t="s">
        <v>363</v>
      </c>
      <c r="AL5" s="32"/>
      <c r="AM5" s="36"/>
      <c r="AN5" s="36" t="s">
        <v>363</v>
      </c>
      <c r="AO5" s="36" t="s">
        <v>363</v>
      </c>
      <c r="AP5" s="36" t="s">
        <v>363</v>
      </c>
      <c r="AQ5" s="36" t="s">
        <v>363</v>
      </c>
      <c r="AR5" s="32" t="s">
        <v>364</v>
      </c>
      <c r="AS5" s="32" t="s">
        <v>364</v>
      </c>
      <c r="AT5" s="32" t="s">
        <v>364</v>
      </c>
      <c r="AU5" s="32" t="s">
        <v>364</v>
      </c>
      <c r="AV5" s="32" t="s">
        <v>364</v>
      </c>
      <c r="AW5" s="36" t="s">
        <v>363</v>
      </c>
      <c r="AX5" s="32" t="s">
        <v>364</v>
      </c>
      <c r="AY5" s="32" t="s">
        <v>364</v>
      </c>
      <c r="AZ5" s="32"/>
      <c r="BA5" s="36" t="s">
        <v>363</v>
      </c>
      <c r="BB5" s="32"/>
      <c r="BC5" s="36" t="s">
        <v>363</v>
      </c>
    </row>
    <row r="6" spans="1:55" ht="15" customHeight="1">
      <c r="A6" s="11"/>
      <c r="B6" s="1"/>
      <c r="C6" s="1" t="s">
        <v>33</v>
      </c>
      <c r="D6" s="35" t="s">
        <v>273</v>
      </c>
      <c r="E6" s="43"/>
      <c r="F6" s="43"/>
      <c r="G6" s="44"/>
      <c r="H6" s="44"/>
      <c r="I6" s="43"/>
      <c r="J6" s="43"/>
      <c r="K6" s="43"/>
      <c r="L6" s="43"/>
      <c r="M6" s="43"/>
      <c r="N6" s="43"/>
      <c r="O6" s="43"/>
      <c r="P6" s="43"/>
      <c r="Q6" s="43"/>
      <c r="R6" s="36" t="s">
        <v>363</v>
      </c>
      <c r="S6" s="36" t="s">
        <v>363</v>
      </c>
      <c r="T6" s="36" t="s">
        <v>363</v>
      </c>
      <c r="U6" s="36" t="s">
        <v>363</v>
      </c>
      <c r="V6" s="36" t="s">
        <v>363</v>
      </c>
      <c r="W6" s="36" t="s">
        <v>363</v>
      </c>
      <c r="X6" s="36" t="s">
        <v>363</v>
      </c>
      <c r="Y6" s="36" t="s">
        <v>363</v>
      </c>
      <c r="Z6" s="36" t="s">
        <v>363</v>
      </c>
      <c r="AA6" s="36" t="s">
        <v>363</v>
      </c>
      <c r="AB6" s="36" t="s">
        <v>363</v>
      </c>
      <c r="AC6" s="36" t="s">
        <v>363</v>
      </c>
      <c r="AD6" s="36" t="s">
        <v>363</v>
      </c>
      <c r="AE6" s="36" t="s">
        <v>363</v>
      </c>
      <c r="AF6" s="36" t="s">
        <v>363</v>
      </c>
      <c r="AG6" s="36" t="s">
        <v>363</v>
      </c>
      <c r="AH6" s="36" t="s">
        <v>363</v>
      </c>
      <c r="AI6" s="36" t="s">
        <v>363</v>
      </c>
      <c r="AJ6" s="36" t="s">
        <v>363</v>
      </c>
      <c r="AK6" s="36" t="s">
        <v>363</v>
      </c>
      <c r="AL6" s="32"/>
      <c r="AM6" s="36"/>
      <c r="AN6" s="36" t="s">
        <v>363</v>
      </c>
      <c r="AO6" s="36" t="s">
        <v>363</v>
      </c>
      <c r="AP6" s="36" t="s">
        <v>363</v>
      </c>
      <c r="AQ6" s="36" t="s">
        <v>363</v>
      </c>
      <c r="AR6" s="32" t="s">
        <v>364</v>
      </c>
      <c r="AS6" s="32" t="s">
        <v>364</v>
      </c>
      <c r="AT6" s="32" t="s">
        <v>364</v>
      </c>
      <c r="AU6" s="32" t="s">
        <v>364</v>
      </c>
      <c r="AV6" s="32" t="s">
        <v>364</v>
      </c>
      <c r="AW6" s="36" t="s">
        <v>363</v>
      </c>
      <c r="AX6" s="32" t="s">
        <v>364</v>
      </c>
      <c r="AY6" s="32" t="s">
        <v>364</v>
      </c>
      <c r="AZ6" s="32"/>
      <c r="BA6" s="36" t="s">
        <v>363</v>
      </c>
      <c r="BB6" s="32"/>
      <c r="BC6" s="36" t="s">
        <v>363</v>
      </c>
    </row>
    <row r="7" spans="1:55" ht="15" customHeight="1">
      <c r="A7" s="11">
        <v>11</v>
      </c>
      <c r="B7" s="13">
        <v>2022</v>
      </c>
      <c r="C7" s="13" t="s">
        <v>33</v>
      </c>
      <c r="D7" s="37" t="s">
        <v>46</v>
      </c>
      <c r="E7" s="34" t="s">
        <v>274</v>
      </c>
      <c r="F7" s="34" t="s">
        <v>275</v>
      </c>
      <c r="G7" s="35" t="s">
        <v>286</v>
      </c>
      <c r="H7" s="40" t="s">
        <v>287</v>
      </c>
      <c r="I7" s="34" t="s">
        <v>319</v>
      </c>
      <c r="J7" s="34" t="s">
        <v>44</v>
      </c>
      <c r="K7" s="34" t="s">
        <v>47</v>
      </c>
      <c r="L7" s="34" t="s">
        <v>35</v>
      </c>
      <c r="M7" s="34" t="s">
        <v>43</v>
      </c>
      <c r="N7" s="34" t="s">
        <v>36</v>
      </c>
      <c r="O7" s="34">
        <v>7033800111</v>
      </c>
      <c r="P7" s="34" t="s">
        <v>48</v>
      </c>
      <c r="Q7" s="34" t="s">
        <v>49</v>
      </c>
      <c r="R7" s="33"/>
      <c r="S7" s="33">
        <v>50</v>
      </c>
      <c r="T7" s="33">
        <v>30</v>
      </c>
      <c r="U7" s="33">
        <v>50</v>
      </c>
      <c r="V7" s="33">
        <v>30</v>
      </c>
      <c r="W7" s="33">
        <v>50</v>
      </c>
      <c r="X7" s="33"/>
      <c r="Y7" s="33">
        <v>20</v>
      </c>
      <c r="Z7" s="33"/>
      <c r="AA7" s="33">
        <v>50</v>
      </c>
      <c r="AB7" s="33">
        <v>50</v>
      </c>
      <c r="AC7" s="33"/>
      <c r="AD7" s="33"/>
      <c r="AE7" s="33">
        <v>20</v>
      </c>
      <c r="AF7" s="33">
        <v>40</v>
      </c>
      <c r="AG7" s="33"/>
      <c r="AH7" s="33">
        <v>20</v>
      </c>
      <c r="AI7" s="33"/>
      <c r="AJ7" s="33">
        <v>40</v>
      </c>
      <c r="AK7" s="33">
        <v>20</v>
      </c>
      <c r="AL7" s="33">
        <v>20</v>
      </c>
      <c r="AM7" s="45">
        <f t="shared" ref="AM7:AM11" si="0">SUM(R7:AL7)</f>
        <v>490</v>
      </c>
      <c r="AN7" s="33"/>
      <c r="AO7" s="33"/>
      <c r="AP7" s="33"/>
      <c r="AQ7" s="33">
        <v>15</v>
      </c>
      <c r="AR7" s="33">
        <v>10</v>
      </c>
      <c r="AS7" s="33">
        <v>10</v>
      </c>
      <c r="AT7" s="33">
        <v>10</v>
      </c>
      <c r="AU7" s="33"/>
      <c r="AV7" s="33">
        <v>10</v>
      </c>
      <c r="AW7" s="33">
        <v>10</v>
      </c>
      <c r="AX7" s="33">
        <v>20</v>
      </c>
      <c r="AY7" s="33"/>
      <c r="AZ7" s="33"/>
      <c r="BA7" s="33">
        <v>10</v>
      </c>
      <c r="BB7" s="33"/>
      <c r="BC7" s="33">
        <v>10</v>
      </c>
    </row>
    <row r="8" spans="1:55" ht="15" customHeight="1">
      <c r="A8" s="11">
        <v>12</v>
      </c>
      <c r="B8" s="22">
        <v>1570</v>
      </c>
      <c r="C8" s="22" t="s">
        <v>33</v>
      </c>
      <c r="D8" s="37" t="s">
        <v>50</v>
      </c>
      <c r="E8" s="34" t="s">
        <v>274</v>
      </c>
      <c r="F8" s="46" t="s">
        <v>275</v>
      </c>
      <c r="G8" s="35" t="s">
        <v>286</v>
      </c>
      <c r="H8" s="40" t="s">
        <v>288</v>
      </c>
      <c r="I8" s="34" t="s">
        <v>319</v>
      </c>
      <c r="J8" s="34" t="s">
        <v>44</v>
      </c>
      <c r="K8" s="34" t="s">
        <v>51</v>
      </c>
      <c r="L8" s="34" t="s">
        <v>35</v>
      </c>
      <c r="M8" s="34" t="s">
        <v>43</v>
      </c>
      <c r="N8" s="34" t="s">
        <v>36</v>
      </c>
      <c r="O8" s="34">
        <v>9386941339</v>
      </c>
      <c r="P8" s="34" t="s">
        <v>52</v>
      </c>
      <c r="Q8" s="34" t="s">
        <v>53</v>
      </c>
      <c r="R8" s="33"/>
      <c r="S8" s="33">
        <v>50</v>
      </c>
      <c r="T8" s="33">
        <v>30</v>
      </c>
      <c r="U8" s="33">
        <v>50</v>
      </c>
      <c r="V8" s="33">
        <v>30</v>
      </c>
      <c r="W8" s="33">
        <v>50</v>
      </c>
      <c r="X8" s="33"/>
      <c r="Y8" s="33">
        <v>20</v>
      </c>
      <c r="Z8" s="33"/>
      <c r="AA8" s="33">
        <v>50</v>
      </c>
      <c r="AB8" s="33">
        <v>50</v>
      </c>
      <c r="AC8" s="33"/>
      <c r="AD8" s="33"/>
      <c r="AE8" s="33">
        <v>20</v>
      </c>
      <c r="AF8" s="33">
        <v>40</v>
      </c>
      <c r="AG8" s="33"/>
      <c r="AH8" s="33">
        <v>20</v>
      </c>
      <c r="AI8" s="33"/>
      <c r="AJ8" s="33">
        <v>40</v>
      </c>
      <c r="AK8" s="33">
        <v>20</v>
      </c>
      <c r="AL8" s="33">
        <v>20</v>
      </c>
      <c r="AM8" s="45">
        <f t="shared" si="0"/>
        <v>490</v>
      </c>
      <c r="AN8" s="33"/>
      <c r="AO8" s="33"/>
      <c r="AP8" s="33"/>
      <c r="AQ8" s="33">
        <v>20</v>
      </c>
      <c r="AR8" s="33">
        <v>10</v>
      </c>
      <c r="AS8" s="33">
        <v>10</v>
      </c>
      <c r="AT8" s="33">
        <v>10</v>
      </c>
      <c r="AU8" s="33"/>
      <c r="AV8" s="33">
        <v>10</v>
      </c>
      <c r="AW8" s="33">
        <v>10</v>
      </c>
      <c r="AX8" s="33">
        <v>20</v>
      </c>
      <c r="AY8" s="33"/>
      <c r="AZ8" s="33"/>
      <c r="BA8" s="33">
        <v>10</v>
      </c>
      <c r="BB8" s="33"/>
      <c r="BC8" s="33">
        <v>10</v>
      </c>
    </row>
    <row r="9" spans="1:55" ht="15" customHeight="1">
      <c r="A9" s="11">
        <v>13</v>
      </c>
      <c r="B9" s="13">
        <v>2132</v>
      </c>
      <c r="C9" s="13" t="s">
        <v>33</v>
      </c>
      <c r="D9" s="37" t="s">
        <v>54</v>
      </c>
      <c r="E9" s="34" t="s">
        <v>274</v>
      </c>
      <c r="F9" s="34" t="s">
        <v>275</v>
      </c>
      <c r="G9" s="35" t="s">
        <v>286</v>
      </c>
      <c r="H9" s="40" t="s">
        <v>289</v>
      </c>
      <c r="I9" s="34" t="s">
        <v>319</v>
      </c>
      <c r="J9" s="34" t="s">
        <v>44</v>
      </c>
      <c r="K9" s="34" t="s">
        <v>55</v>
      </c>
      <c r="L9" s="34" t="s">
        <v>35</v>
      </c>
      <c r="M9" s="34" t="s">
        <v>43</v>
      </c>
      <c r="N9" s="34" t="s">
        <v>36</v>
      </c>
      <c r="O9" s="34">
        <v>7743871364</v>
      </c>
      <c r="P9" s="34" t="s">
        <v>56</v>
      </c>
      <c r="Q9" s="34" t="s">
        <v>57</v>
      </c>
      <c r="R9" s="33"/>
      <c r="S9" s="33">
        <v>50</v>
      </c>
      <c r="T9" s="33">
        <v>30</v>
      </c>
      <c r="U9" s="33">
        <v>50</v>
      </c>
      <c r="V9" s="33">
        <v>30</v>
      </c>
      <c r="W9" s="33">
        <v>50</v>
      </c>
      <c r="X9" s="33"/>
      <c r="Y9" s="33">
        <v>20</v>
      </c>
      <c r="Z9" s="33"/>
      <c r="AA9" s="33">
        <v>50</v>
      </c>
      <c r="AB9" s="33">
        <v>50</v>
      </c>
      <c r="AC9" s="33"/>
      <c r="AD9" s="33"/>
      <c r="AE9" s="33">
        <v>20</v>
      </c>
      <c r="AF9" s="33">
        <v>40</v>
      </c>
      <c r="AG9" s="33"/>
      <c r="AH9" s="33">
        <v>20</v>
      </c>
      <c r="AI9" s="33"/>
      <c r="AJ9" s="33">
        <v>40</v>
      </c>
      <c r="AK9" s="33">
        <v>20</v>
      </c>
      <c r="AL9" s="33">
        <v>20</v>
      </c>
      <c r="AM9" s="45">
        <f t="shared" si="0"/>
        <v>490</v>
      </c>
      <c r="AN9" s="33"/>
      <c r="AO9" s="33"/>
      <c r="AP9" s="33"/>
      <c r="AQ9" s="33">
        <v>15</v>
      </c>
      <c r="AR9" s="33">
        <v>10</v>
      </c>
      <c r="AS9" s="33">
        <v>10</v>
      </c>
      <c r="AT9" s="33">
        <v>10</v>
      </c>
      <c r="AU9" s="33"/>
      <c r="AV9" s="33">
        <v>10</v>
      </c>
      <c r="AW9" s="33">
        <v>10</v>
      </c>
      <c r="AX9" s="33">
        <v>20</v>
      </c>
      <c r="AY9" s="33"/>
      <c r="AZ9" s="33"/>
      <c r="BA9" s="33">
        <v>10</v>
      </c>
      <c r="BB9" s="33"/>
      <c r="BC9" s="33">
        <v>10</v>
      </c>
    </row>
    <row r="10" spans="1:55" ht="15" customHeight="1">
      <c r="A10" s="11">
        <v>14</v>
      </c>
      <c r="B10" s="13">
        <v>1377</v>
      </c>
      <c r="C10" s="13" t="s">
        <v>33</v>
      </c>
      <c r="D10" s="37" t="s">
        <v>58</v>
      </c>
      <c r="E10" s="34" t="s">
        <v>274</v>
      </c>
      <c r="F10" s="34" t="s">
        <v>276</v>
      </c>
      <c r="G10" s="35" t="s">
        <v>286</v>
      </c>
      <c r="H10" s="40" t="s">
        <v>290</v>
      </c>
      <c r="I10" s="34" t="s">
        <v>319</v>
      </c>
      <c r="J10" s="33" t="s">
        <v>59</v>
      </c>
      <c r="K10" s="34" t="s">
        <v>60</v>
      </c>
      <c r="L10" s="34" t="s">
        <v>35</v>
      </c>
      <c r="M10" s="34" t="s">
        <v>43</v>
      </c>
      <c r="N10" s="34" t="s">
        <v>36</v>
      </c>
      <c r="O10" s="34">
        <v>9937037973</v>
      </c>
      <c r="P10" s="34" t="s">
        <v>61</v>
      </c>
      <c r="Q10" s="34" t="s">
        <v>62</v>
      </c>
      <c r="R10" s="33"/>
      <c r="S10" s="33">
        <v>50</v>
      </c>
      <c r="T10" s="33">
        <v>30</v>
      </c>
      <c r="U10" s="33">
        <v>50</v>
      </c>
      <c r="V10" s="33">
        <v>30</v>
      </c>
      <c r="W10" s="33">
        <v>50</v>
      </c>
      <c r="X10" s="33"/>
      <c r="Y10" s="33">
        <v>20</v>
      </c>
      <c r="Z10" s="33"/>
      <c r="AA10" s="33">
        <v>50</v>
      </c>
      <c r="AB10" s="33">
        <v>50</v>
      </c>
      <c r="AC10" s="33">
        <v>20</v>
      </c>
      <c r="AD10" s="33"/>
      <c r="AE10" s="33">
        <v>20</v>
      </c>
      <c r="AF10" s="33">
        <v>40</v>
      </c>
      <c r="AG10" s="33"/>
      <c r="AH10" s="33">
        <v>20</v>
      </c>
      <c r="AI10" s="33"/>
      <c r="AJ10" s="33">
        <v>40</v>
      </c>
      <c r="AK10" s="33">
        <v>20</v>
      </c>
      <c r="AL10" s="33">
        <v>20</v>
      </c>
      <c r="AM10" s="45">
        <f t="shared" si="0"/>
        <v>510</v>
      </c>
      <c r="AN10" s="33"/>
      <c r="AO10" s="33"/>
      <c r="AP10" s="33"/>
      <c r="AQ10" s="33">
        <v>15</v>
      </c>
      <c r="AR10" s="33">
        <v>10</v>
      </c>
      <c r="AS10" s="33">
        <v>10</v>
      </c>
      <c r="AT10" s="33">
        <v>10</v>
      </c>
      <c r="AU10" s="33"/>
      <c r="AV10" s="33">
        <v>10</v>
      </c>
      <c r="AW10" s="33">
        <v>10</v>
      </c>
      <c r="AX10" s="33"/>
      <c r="AY10" s="33"/>
      <c r="AZ10" s="33"/>
      <c r="BA10" s="33">
        <v>10</v>
      </c>
      <c r="BB10" s="33"/>
      <c r="BC10" s="33"/>
    </row>
    <row r="11" spans="1:55" ht="15" customHeight="1">
      <c r="A11" s="11">
        <v>15</v>
      </c>
      <c r="B11" s="13">
        <v>2180</v>
      </c>
      <c r="C11" s="13" t="s">
        <v>33</v>
      </c>
      <c r="D11" s="37" t="s">
        <v>63</v>
      </c>
      <c r="E11" s="34" t="s">
        <v>274</v>
      </c>
      <c r="F11" s="34" t="s">
        <v>275</v>
      </c>
      <c r="G11" s="35" t="s">
        <v>286</v>
      </c>
      <c r="H11" s="40" t="s">
        <v>291</v>
      </c>
      <c r="I11" s="34" t="s">
        <v>319</v>
      </c>
      <c r="J11" s="34" t="s">
        <v>64</v>
      </c>
      <c r="K11" s="34" t="s">
        <v>65</v>
      </c>
      <c r="L11" s="34" t="s">
        <v>35</v>
      </c>
      <c r="M11" s="34" t="s">
        <v>43</v>
      </c>
      <c r="N11" s="34" t="s">
        <v>36</v>
      </c>
      <c r="O11" s="34">
        <v>9334997717</v>
      </c>
      <c r="P11" s="34" t="s">
        <v>66</v>
      </c>
      <c r="Q11" s="34" t="s">
        <v>67</v>
      </c>
      <c r="R11" s="33"/>
      <c r="S11" s="33">
        <v>50</v>
      </c>
      <c r="T11" s="33">
        <v>30</v>
      </c>
      <c r="U11" s="33">
        <v>50</v>
      </c>
      <c r="V11" s="33">
        <v>30</v>
      </c>
      <c r="W11" s="33">
        <v>50</v>
      </c>
      <c r="X11" s="33"/>
      <c r="Y11" s="33">
        <v>30</v>
      </c>
      <c r="Z11" s="33">
        <v>30</v>
      </c>
      <c r="AA11" s="33">
        <v>50</v>
      </c>
      <c r="AB11" s="33">
        <v>50</v>
      </c>
      <c r="AC11" s="33">
        <v>20</v>
      </c>
      <c r="AD11" s="33"/>
      <c r="AE11" s="33">
        <v>20</v>
      </c>
      <c r="AF11" s="33">
        <v>40</v>
      </c>
      <c r="AG11" s="33"/>
      <c r="AH11" s="33">
        <v>20</v>
      </c>
      <c r="AI11" s="33"/>
      <c r="AJ11" s="33">
        <v>40</v>
      </c>
      <c r="AK11" s="33">
        <v>20</v>
      </c>
      <c r="AL11" s="33">
        <v>20</v>
      </c>
      <c r="AM11" s="45">
        <f t="shared" si="0"/>
        <v>550</v>
      </c>
      <c r="AN11" s="33"/>
      <c r="AO11" s="33"/>
      <c r="AP11" s="33"/>
      <c r="AQ11" s="33">
        <v>15</v>
      </c>
      <c r="AR11" s="33">
        <v>10</v>
      </c>
      <c r="AS11" s="33">
        <v>10</v>
      </c>
      <c r="AT11" s="33">
        <v>10</v>
      </c>
      <c r="AU11" s="33"/>
      <c r="AV11" s="33">
        <v>10</v>
      </c>
      <c r="AW11" s="33">
        <v>10</v>
      </c>
      <c r="AX11" s="33"/>
      <c r="AY11" s="33"/>
      <c r="AZ11" s="33"/>
      <c r="BA11" s="33">
        <v>10</v>
      </c>
      <c r="BB11" s="33"/>
      <c r="BC11" s="33"/>
    </row>
    <row r="12" spans="1:55" ht="15" customHeight="1">
      <c r="A12" s="11">
        <v>18</v>
      </c>
      <c r="B12" s="13">
        <v>2172</v>
      </c>
      <c r="C12" s="13" t="s">
        <v>33</v>
      </c>
      <c r="D12" s="37" t="s">
        <v>71</v>
      </c>
      <c r="E12" s="34" t="s">
        <v>274</v>
      </c>
      <c r="F12" s="34" t="s">
        <v>277</v>
      </c>
      <c r="G12" s="35" t="s">
        <v>286</v>
      </c>
      <c r="H12" s="40" t="s">
        <v>292</v>
      </c>
      <c r="I12" s="34" t="s">
        <v>319</v>
      </c>
      <c r="J12" s="34" t="s">
        <v>70</v>
      </c>
      <c r="K12" s="34" t="s">
        <v>72</v>
      </c>
      <c r="L12" s="34" t="s">
        <v>35</v>
      </c>
      <c r="M12" s="34" t="s">
        <v>69</v>
      </c>
      <c r="N12" s="34" t="s">
        <v>68</v>
      </c>
      <c r="O12" s="34">
        <v>9002249045</v>
      </c>
      <c r="P12" s="34" t="s">
        <v>73</v>
      </c>
      <c r="Q12" s="34" t="s">
        <v>74</v>
      </c>
      <c r="R12" s="33"/>
      <c r="S12" s="33">
        <v>50</v>
      </c>
      <c r="T12" s="33">
        <v>30</v>
      </c>
      <c r="U12" s="33">
        <v>50</v>
      </c>
      <c r="V12" s="33">
        <v>30</v>
      </c>
      <c r="W12" s="33">
        <v>30</v>
      </c>
      <c r="X12" s="33"/>
      <c r="Y12" s="33"/>
      <c r="Z12" s="33"/>
      <c r="AA12" s="33">
        <v>50</v>
      </c>
      <c r="AB12" s="33">
        <v>50</v>
      </c>
      <c r="AC12" s="33"/>
      <c r="AD12" s="33"/>
      <c r="AE12" s="33"/>
      <c r="AF12" s="33">
        <v>30</v>
      </c>
      <c r="AG12" s="33">
        <v>30</v>
      </c>
      <c r="AH12" s="33">
        <v>30</v>
      </c>
      <c r="AI12" s="33"/>
      <c r="AJ12" s="33">
        <v>30</v>
      </c>
      <c r="AK12" s="33"/>
      <c r="AL12" s="33"/>
      <c r="AM12" s="45">
        <f t="shared" ref="AM12:AM13" si="1">SUM(R12:AL12)</f>
        <v>410</v>
      </c>
      <c r="AN12" s="33"/>
      <c r="AO12" s="33"/>
      <c r="AP12" s="33"/>
      <c r="AQ12" s="33">
        <v>15</v>
      </c>
      <c r="AR12" s="33">
        <v>10</v>
      </c>
      <c r="AS12" s="33">
        <v>10</v>
      </c>
      <c r="AT12" s="33">
        <v>10</v>
      </c>
      <c r="AU12" s="33"/>
      <c r="AV12" s="33">
        <v>10</v>
      </c>
      <c r="AW12" s="33">
        <v>10</v>
      </c>
      <c r="AX12" s="33"/>
      <c r="AY12" s="33"/>
      <c r="AZ12" s="33"/>
      <c r="BA12" s="33">
        <v>10</v>
      </c>
      <c r="BB12" s="33"/>
      <c r="BC12" s="33"/>
    </row>
    <row r="13" spans="1:55" ht="15" customHeight="1">
      <c r="A13" s="11">
        <v>19</v>
      </c>
      <c r="B13" s="13">
        <v>2191</v>
      </c>
      <c r="C13" s="13" t="s">
        <v>33</v>
      </c>
      <c r="D13" s="37" t="s">
        <v>75</v>
      </c>
      <c r="E13" s="34" t="s">
        <v>274</v>
      </c>
      <c r="F13" s="34" t="s">
        <v>277</v>
      </c>
      <c r="G13" s="35" t="s">
        <v>286</v>
      </c>
      <c r="H13" s="40" t="s">
        <v>293</v>
      </c>
      <c r="I13" s="34" t="s">
        <v>319</v>
      </c>
      <c r="J13" s="34" t="s">
        <v>70</v>
      </c>
      <c r="K13" s="34" t="s">
        <v>76</v>
      </c>
      <c r="L13" s="34" t="s">
        <v>35</v>
      </c>
      <c r="M13" s="34" t="s">
        <v>69</v>
      </c>
      <c r="N13" s="34" t="s">
        <v>68</v>
      </c>
      <c r="O13" s="34">
        <v>9038811800</v>
      </c>
      <c r="P13" s="34" t="s">
        <v>77</v>
      </c>
      <c r="Q13" s="34" t="s">
        <v>78</v>
      </c>
      <c r="R13" s="33"/>
      <c r="S13" s="33">
        <v>50</v>
      </c>
      <c r="T13" s="33">
        <v>30</v>
      </c>
      <c r="U13" s="33">
        <v>50</v>
      </c>
      <c r="V13" s="33">
        <v>30</v>
      </c>
      <c r="W13" s="33">
        <v>30</v>
      </c>
      <c r="X13" s="33"/>
      <c r="Y13" s="33"/>
      <c r="Z13" s="33"/>
      <c r="AA13" s="33">
        <v>50</v>
      </c>
      <c r="AB13" s="33">
        <v>50</v>
      </c>
      <c r="AC13" s="33"/>
      <c r="AD13" s="33"/>
      <c r="AE13" s="33"/>
      <c r="AF13" s="33">
        <v>30</v>
      </c>
      <c r="AG13" s="33">
        <v>30</v>
      </c>
      <c r="AH13" s="33">
        <v>30</v>
      </c>
      <c r="AI13" s="33"/>
      <c r="AJ13" s="33">
        <v>30</v>
      </c>
      <c r="AK13" s="33"/>
      <c r="AL13" s="33"/>
      <c r="AM13" s="45">
        <f t="shared" si="1"/>
        <v>410</v>
      </c>
      <c r="AN13" s="33"/>
      <c r="AO13" s="33"/>
      <c r="AP13" s="33"/>
      <c r="AQ13" s="33">
        <v>15</v>
      </c>
      <c r="AR13" s="33">
        <v>10</v>
      </c>
      <c r="AS13" s="33">
        <v>10</v>
      </c>
      <c r="AT13" s="33">
        <v>10</v>
      </c>
      <c r="AU13" s="33"/>
      <c r="AV13" s="33">
        <v>10</v>
      </c>
      <c r="AW13" s="33">
        <v>10</v>
      </c>
      <c r="AX13" s="33"/>
      <c r="AY13" s="33"/>
      <c r="AZ13" s="33"/>
      <c r="BA13" s="33">
        <v>10</v>
      </c>
      <c r="BB13" s="33"/>
      <c r="BC13" s="33"/>
    </row>
    <row r="14" spans="1:55" ht="15" customHeight="1">
      <c r="A14" s="11">
        <v>20</v>
      </c>
      <c r="B14" s="13">
        <v>2169</v>
      </c>
      <c r="C14" s="13" t="s">
        <v>33</v>
      </c>
      <c r="D14" s="37" t="s">
        <v>79</v>
      </c>
      <c r="E14" s="34" t="s">
        <v>274</v>
      </c>
      <c r="F14" s="34" t="s">
        <v>278</v>
      </c>
      <c r="G14" s="35" t="s">
        <v>286</v>
      </c>
      <c r="H14" s="40" t="s">
        <v>294</v>
      </c>
      <c r="I14" s="34" t="s">
        <v>319</v>
      </c>
      <c r="J14" s="34" t="s">
        <v>80</v>
      </c>
      <c r="K14" s="34" t="s">
        <v>81</v>
      </c>
      <c r="L14" s="34" t="s">
        <v>35</v>
      </c>
      <c r="M14" s="34" t="s">
        <v>69</v>
      </c>
      <c r="N14" s="34" t="s">
        <v>68</v>
      </c>
      <c r="O14" s="34">
        <v>6003794693</v>
      </c>
      <c r="P14" s="34" t="s">
        <v>82</v>
      </c>
      <c r="Q14" s="34" t="s">
        <v>83</v>
      </c>
      <c r="R14" s="33"/>
      <c r="S14" s="33">
        <v>50</v>
      </c>
      <c r="T14" s="33">
        <v>30</v>
      </c>
      <c r="U14" s="33">
        <v>50</v>
      </c>
      <c r="V14" s="33">
        <v>30</v>
      </c>
      <c r="W14" s="33">
        <v>50</v>
      </c>
      <c r="X14" s="33"/>
      <c r="Y14" s="33">
        <v>20</v>
      </c>
      <c r="Z14" s="33"/>
      <c r="AA14" s="33">
        <v>50</v>
      </c>
      <c r="AB14" s="33">
        <v>50</v>
      </c>
      <c r="AC14" s="33"/>
      <c r="AD14" s="33"/>
      <c r="AE14" s="33">
        <v>20</v>
      </c>
      <c r="AF14" s="33">
        <v>40</v>
      </c>
      <c r="AG14" s="33"/>
      <c r="AH14" s="33">
        <v>20</v>
      </c>
      <c r="AI14" s="33"/>
      <c r="AJ14" s="33">
        <v>40</v>
      </c>
      <c r="AK14" s="33">
        <v>20</v>
      </c>
      <c r="AL14" s="33">
        <v>20</v>
      </c>
      <c r="AM14" s="45">
        <f>SUM(R14:AL14)</f>
        <v>490</v>
      </c>
      <c r="AN14" s="33"/>
      <c r="AO14" s="33"/>
      <c r="AP14" s="33"/>
      <c r="AQ14" s="33">
        <v>15</v>
      </c>
      <c r="AR14" s="33">
        <v>10</v>
      </c>
      <c r="AS14" s="33">
        <v>10</v>
      </c>
      <c r="AT14" s="33">
        <v>10</v>
      </c>
      <c r="AU14" s="33"/>
      <c r="AV14" s="33">
        <v>10</v>
      </c>
      <c r="AW14" s="33">
        <v>10</v>
      </c>
      <c r="AX14" s="33"/>
      <c r="AY14" s="33"/>
      <c r="AZ14" s="33"/>
      <c r="BA14" s="33">
        <v>10</v>
      </c>
      <c r="BB14" s="33"/>
      <c r="BC14" s="33"/>
    </row>
    <row r="15" spans="1:55" s="14" customFormat="1" ht="15" customHeight="1">
      <c r="A15" s="2">
        <v>21</v>
      </c>
      <c r="B15" s="21">
        <v>2269</v>
      </c>
      <c r="C15" s="21" t="s">
        <v>33</v>
      </c>
      <c r="D15" s="37" t="s">
        <v>84</v>
      </c>
      <c r="E15" s="34" t="s">
        <v>274</v>
      </c>
      <c r="F15" s="34" t="s">
        <v>278</v>
      </c>
      <c r="G15" s="35" t="s">
        <v>286</v>
      </c>
      <c r="H15" s="40" t="s">
        <v>295</v>
      </c>
      <c r="I15" s="34" t="s">
        <v>319</v>
      </c>
      <c r="J15" s="34" t="s">
        <v>80</v>
      </c>
      <c r="K15" s="34" t="s">
        <v>85</v>
      </c>
      <c r="L15" s="34" t="s">
        <v>35</v>
      </c>
      <c r="M15" s="34" t="s">
        <v>69</v>
      </c>
      <c r="N15" s="34" t="s">
        <v>68</v>
      </c>
      <c r="O15" s="34">
        <v>9679023811</v>
      </c>
      <c r="P15" s="34" t="s">
        <v>86</v>
      </c>
      <c r="Q15" s="34" t="s">
        <v>87</v>
      </c>
      <c r="R15" s="33"/>
      <c r="S15" s="33">
        <v>50</v>
      </c>
      <c r="T15" s="33">
        <v>30</v>
      </c>
      <c r="U15" s="33">
        <v>50</v>
      </c>
      <c r="V15" s="33">
        <v>30</v>
      </c>
      <c r="W15" s="33">
        <v>50</v>
      </c>
      <c r="X15" s="33"/>
      <c r="Y15" s="33">
        <v>20</v>
      </c>
      <c r="Z15" s="33"/>
      <c r="AA15" s="33">
        <v>50</v>
      </c>
      <c r="AB15" s="33">
        <v>50</v>
      </c>
      <c r="AC15" s="33"/>
      <c r="AD15" s="33"/>
      <c r="AE15" s="33">
        <v>20</v>
      </c>
      <c r="AF15" s="33">
        <v>40</v>
      </c>
      <c r="AG15" s="33"/>
      <c r="AH15" s="33">
        <v>20</v>
      </c>
      <c r="AI15" s="33"/>
      <c r="AJ15" s="33">
        <v>40</v>
      </c>
      <c r="AK15" s="33">
        <v>20</v>
      </c>
      <c r="AL15" s="33">
        <v>20</v>
      </c>
      <c r="AM15" s="45">
        <f>SUM(R15:AL15)</f>
        <v>490</v>
      </c>
      <c r="AN15" s="33"/>
      <c r="AO15" s="33"/>
      <c r="AP15" s="33"/>
      <c r="AQ15" s="33">
        <v>15</v>
      </c>
      <c r="AR15" s="33">
        <v>10</v>
      </c>
      <c r="AS15" s="33">
        <v>10</v>
      </c>
      <c r="AT15" s="33">
        <v>10</v>
      </c>
      <c r="AU15" s="33"/>
      <c r="AV15" s="33">
        <v>10</v>
      </c>
      <c r="AW15" s="33">
        <v>10</v>
      </c>
      <c r="AX15" s="33"/>
      <c r="AY15" s="33"/>
      <c r="AZ15" s="33"/>
      <c r="BA15" s="33">
        <v>10</v>
      </c>
      <c r="BB15" s="33"/>
      <c r="BC15" s="33"/>
    </row>
    <row r="16" spans="1:55" ht="15" customHeight="1">
      <c r="A16" s="11">
        <v>23</v>
      </c>
      <c r="B16" s="21">
        <v>1437</v>
      </c>
      <c r="C16" s="21" t="s">
        <v>33</v>
      </c>
      <c r="D16" s="37" t="s">
        <v>90</v>
      </c>
      <c r="E16" s="34" t="s">
        <v>274</v>
      </c>
      <c r="F16" s="34" t="s">
        <v>279</v>
      </c>
      <c r="G16" s="35" t="s">
        <v>286</v>
      </c>
      <c r="H16" s="40" t="s">
        <v>296</v>
      </c>
      <c r="I16" s="34" t="s">
        <v>319</v>
      </c>
      <c r="J16" s="34" t="s">
        <v>34</v>
      </c>
      <c r="K16" s="34" t="s">
        <v>91</v>
      </c>
      <c r="L16" s="34" t="s">
        <v>89</v>
      </c>
      <c r="M16" s="34" t="s">
        <v>88</v>
      </c>
      <c r="N16" s="34" t="s">
        <v>68</v>
      </c>
      <c r="O16" s="34">
        <v>9599653595</v>
      </c>
      <c r="P16" s="34" t="s">
        <v>92</v>
      </c>
      <c r="Q16" s="34" t="s">
        <v>93</v>
      </c>
      <c r="R16" s="33">
        <v>30</v>
      </c>
      <c r="S16" s="33">
        <v>50</v>
      </c>
      <c r="T16" s="33">
        <v>30</v>
      </c>
      <c r="U16" s="33">
        <v>70</v>
      </c>
      <c r="V16" s="33">
        <v>30</v>
      </c>
      <c r="W16" s="33">
        <v>50</v>
      </c>
      <c r="X16" s="33"/>
      <c r="Y16" s="33">
        <v>50</v>
      </c>
      <c r="Z16" s="33">
        <v>50</v>
      </c>
      <c r="AA16" s="33">
        <v>50</v>
      </c>
      <c r="AB16" s="33">
        <v>50</v>
      </c>
      <c r="AC16" s="33"/>
      <c r="AD16" s="33">
        <v>40</v>
      </c>
      <c r="AE16" s="33">
        <v>20</v>
      </c>
      <c r="AF16" s="33">
        <v>50</v>
      </c>
      <c r="AG16" s="33">
        <v>30</v>
      </c>
      <c r="AH16" s="33">
        <v>20</v>
      </c>
      <c r="AI16" s="33"/>
      <c r="AJ16" s="33">
        <v>40</v>
      </c>
      <c r="AK16" s="33">
        <v>20</v>
      </c>
      <c r="AL16" s="33">
        <v>20</v>
      </c>
      <c r="AM16" s="45">
        <f t="shared" ref="AM16:AM19" si="2">SUM(R16:AL16)</f>
        <v>700</v>
      </c>
      <c r="AN16" s="33"/>
      <c r="AO16" s="33"/>
      <c r="AP16" s="33"/>
      <c r="AQ16" s="33">
        <v>15</v>
      </c>
      <c r="AR16" s="33">
        <v>10</v>
      </c>
      <c r="AS16" s="33">
        <v>10</v>
      </c>
      <c r="AT16" s="33">
        <v>10</v>
      </c>
      <c r="AU16" s="33"/>
      <c r="AV16" s="33">
        <v>10</v>
      </c>
      <c r="AW16" s="33">
        <v>10</v>
      </c>
      <c r="AX16" s="33"/>
      <c r="AY16" s="33">
        <v>10</v>
      </c>
      <c r="AZ16" s="33"/>
      <c r="BA16" s="33">
        <v>10</v>
      </c>
      <c r="BB16" s="33"/>
      <c r="BC16" s="33"/>
    </row>
    <row r="17" spans="1:55" ht="15" customHeight="1">
      <c r="A17" s="11">
        <v>24</v>
      </c>
      <c r="B17" s="13">
        <v>2039</v>
      </c>
      <c r="C17" s="13" t="s">
        <v>33</v>
      </c>
      <c r="D17" s="37" t="s">
        <v>94</v>
      </c>
      <c r="E17" s="34" t="s">
        <v>274</v>
      </c>
      <c r="F17" s="34" t="s">
        <v>279</v>
      </c>
      <c r="G17" s="35" t="s">
        <v>286</v>
      </c>
      <c r="H17" s="40" t="s">
        <v>297</v>
      </c>
      <c r="I17" s="34" t="s">
        <v>319</v>
      </c>
      <c r="J17" s="34" t="s">
        <v>95</v>
      </c>
      <c r="K17" s="34" t="s">
        <v>96</v>
      </c>
      <c r="L17" s="34" t="s">
        <v>89</v>
      </c>
      <c r="M17" s="34" t="s">
        <v>88</v>
      </c>
      <c r="N17" s="34" t="s">
        <v>68</v>
      </c>
      <c r="O17" s="34">
        <v>9027535587</v>
      </c>
      <c r="P17" s="34" t="s">
        <v>97</v>
      </c>
      <c r="Q17" s="34" t="s">
        <v>98</v>
      </c>
      <c r="R17" s="33"/>
      <c r="S17" s="33">
        <v>50</v>
      </c>
      <c r="T17" s="33">
        <v>30</v>
      </c>
      <c r="U17" s="33">
        <v>50</v>
      </c>
      <c r="V17" s="33">
        <v>30</v>
      </c>
      <c r="W17" s="33">
        <v>50</v>
      </c>
      <c r="X17" s="33"/>
      <c r="Y17" s="33">
        <v>20</v>
      </c>
      <c r="Z17" s="33"/>
      <c r="AA17" s="33">
        <v>50</v>
      </c>
      <c r="AB17" s="33">
        <v>50</v>
      </c>
      <c r="AC17" s="33"/>
      <c r="AD17" s="33"/>
      <c r="AE17" s="33">
        <v>20</v>
      </c>
      <c r="AF17" s="33">
        <v>40</v>
      </c>
      <c r="AG17" s="33"/>
      <c r="AH17" s="33">
        <v>20</v>
      </c>
      <c r="AI17" s="33"/>
      <c r="AJ17" s="33">
        <v>40</v>
      </c>
      <c r="AK17" s="33">
        <v>20</v>
      </c>
      <c r="AL17" s="33">
        <v>20</v>
      </c>
      <c r="AM17" s="45">
        <f t="shared" si="2"/>
        <v>490</v>
      </c>
      <c r="AN17" s="33"/>
      <c r="AO17" s="33"/>
      <c r="AP17" s="33"/>
      <c r="AQ17" s="33">
        <v>15</v>
      </c>
      <c r="AR17" s="33">
        <v>10</v>
      </c>
      <c r="AS17" s="33">
        <v>10</v>
      </c>
      <c r="AT17" s="33">
        <v>10</v>
      </c>
      <c r="AU17" s="33"/>
      <c r="AV17" s="33">
        <v>10</v>
      </c>
      <c r="AW17" s="33">
        <v>10</v>
      </c>
      <c r="AX17" s="33"/>
      <c r="AY17" s="33"/>
      <c r="AZ17" s="33"/>
      <c r="BA17" s="33">
        <v>10</v>
      </c>
      <c r="BB17" s="33"/>
      <c r="BC17" s="33"/>
    </row>
    <row r="18" spans="1:55" ht="15" customHeight="1">
      <c r="A18" s="11">
        <v>25</v>
      </c>
      <c r="B18" s="13">
        <v>1485</v>
      </c>
      <c r="C18" s="13" t="s">
        <v>33</v>
      </c>
      <c r="D18" s="37" t="s">
        <v>99</v>
      </c>
      <c r="E18" s="34" t="s">
        <v>274</v>
      </c>
      <c r="F18" s="34" t="s">
        <v>279</v>
      </c>
      <c r="G18" s="35" t="s">
        <v>286</v>
      </c>
      <c r="H18" s="40" t="s">
        <v>298</v>
      </c>
      <c r="I18" s="34" t="s">
        <v>319</v>
      </c>
      <c r="J18" s="34" t="s">
        <v>37</v>
      </c>
      <c r="K18" s="34" t="s">
        <v>100</v>
      </c>
      <c r="L18" s="34" t="s">
        <v>89</v>
      </c>
      <c r="M18" s="34" t="s">
        <v>88</v>
      </c>
      <c r="N18" s="34" t="s">
        <v>68</v>
      </c>
      <c r="O18" s="34">
        <v>8744098321</v>
      </c>
      <c r="P18" s="34" t="s">
        <v>101</v>
      </c>
      <c r="Q18" s="34" t="s">
        <v>102</v>
      </c>
      <c r="R18" s="33"/>
      <c r="S18" s="33">
        <v>50</v>
      </c>
      <c r="T18" s="33">
        <v>30</v>
      </c>
      <c r="U18" s="33">
        <v>50</v>
      </c>
      <c r="V18" s="33">
        <v>30</v>
      </c>
      <c r="W18" s="33">
        <v>50</v>
      </c>
      <c r="X18" s="33"/>
      <c r="Y18" s="33">
        <v>20</v>
      </c>
      <c r="Z18" s="33"/>
      <c r="AA18" s="33">
        <v>50</v>
      </c>
      <c r="AB18" s="33">
        <v>50</v>
      </c>
      <c r="AC18" s="33"/>
      <c r="AD18" s="33"/>
      <c r="AE18" s="33">
        <v>20</v>
      </c>
      <c r="AF18" s="33">
        <v>40</v>
      </c>
      <c r="AG18" s="33"/>
      <c r="AH18" s="33">
        <v>20</v>
      </c>
      <c r="AI18" s="33"/>
      <c r="AJ18" s="33">
        <v>40</v>
      </c>
      <c r="AK18" s="33">
        <v>20</v>
      </c>
      <c r="AL18" s="33">
        <v>20</v>
      </c>
      <c r="AM18" s="45">
        <f t="shared" si="2"/>
        <v>490</v>
      </c>
      <c r="AN18" s="33"/>
      <c r="AO18" s="33"/>
      <c r="AP18" s="33"/>
      <c r="AQ18" s="33">
        <v>15</v>
      </c>
      <c r="AR18" s="33">
        <v>10</v>
      </c>
      <c r="AS18" s="33">
        <v>10</v>
      </c>
      <c r="AT18" s="33">
        <v>10</v>
      </c>
      <c r="AU18" s="33"/>
      <c r="AV18" s="33">
        <v>10</v>
      </c>
      <c r="AW18" s="33">
        <v>10</v>
      </c>
      <c r="AX18" s="33"/>
      <c r="AY18" s="33"/>
      <c r="AZ18" s="33"/>
      <c r="BA18" s="33">
        <v>10</v>
      </c>
      <c r="BB18" s="33"/>
      <c r="BC18" s="33"/>
    </row>
    <row r="19" spans="1:55" ht="15" customHeight="1">
      <c r="A19" s="11">
        <v>26</v>
      </c>
      <c r="B19" s="21">
        <v>2013</v>
      </c>
      <c r="C19" s="21" t="s">
        <v>33</v>
      </c>
      <c r="D19" s="37" t="s">
        <v>103</v>
      </c>
      <c r="E19" s="34" t="s">
        <v>274</v>
      </c>
      <c r="F19" s="34" t="s">
        <v>279</v>
      </c>
      <c r="G19" s="35" t="s">
        <v>286</v>
      </c>
      <c r="H19" s="40" t="s">
        <v>299</v>
      </c>
      <c r="I19" s="34" t="s">
        <v>319</v>
      </c>
      <c r="J19" s="34" t="s">
        <v>104</v>
      </c>
      <c r="K19" s="34" t="s">
        <v>105</v>
      </c>
      <c r="L19" s="34" t="s">
        <v>89</v>
      </c>
      <c r="M19" s="34" t="s">
        <v>88</v>
      </c>
      <c r="N19" s="34" t="s">
        <v>68</v>
      </c>
      <c r="O19" s="34" t="s">
        <v>106</v>
      </c>
      <c r="P19" s="40" t="s">
        <v>107</v>
      </c>
      <c r="Q19" s="34" t="s">
        <v>108</v>
      </c>
      <c r="R19" s="33"/>
      <c r="S19" s="33">
        <v>50</v>
      </c>
      <c r="T19" s="33">
        <v>30</v>
      </c>
      <c r="U19" s="33">
        <v>50</v>
      </c>
      <c r="V19" s="33">
        <v>30</v>
      </c>
      <c r="W19" s="33">
        <v>50</v>
      </c>
      <c r="X19" s="33"/>
      <c r="Y19" s="33">
        <v>20</v>
      </c>
      <c r="Z19" s="33"/>
      <c r="AA19" s="33">
        <v>50</v>
      </c>
      <c r="AB19" s="33">
        <v>50</v>
      </c>
      <c r="AC19" s="33"/>
      <c r="AD19" s="33"/>
      <c r="AE19" s="33">
        <v>20</v>
      </c>
      <c r="AF19" s="33">
        <v>40</v>
      </c>
      <c r="AG19" s="33"/>
      <c r="AH19" s="33">
        <v>20</v>
      </c>
      <c r="AI19" s="33"/>
      <c r="AJ19" s="33">
        <v>40</v>
      </c>
      <c r="AK19" s="33">
        <v>20</v>
      </c>
      <c r="AL19" s="33">
        <v>20</v>
      </c>
      <c r="AM19" s="45">
        <f t="shared" si="2"/>
        <v>490</v>
      </c>
      <c r="AN19" s="33"/>
      <c r="AO19" s="33"/>
      <c r="AP19" s="33"/>
      <c r="AQ19" s="33">
        <v>20</v>
      </c>
      <c r="AR19" s="33">
        <v>10</v>
      </c>
      <c r="AS19" s="33">
        <v>10</v>
      </c>
      <c r="AT19" s="33">
        <v>10</v>
      </c>
      <c r="AU19" s="33"/>
      <c r="AV19" s="33">
        <v>10</v>
      </c>
      <c r="AW19" s="33">
        <v>10</v>
      </c>
      <c r="AX19" s="33">
        <v>20</v>
      </c>
      <c r="AY19" s="33"/>
      <c r="AZ19" s="33"/>
      <c r="BA19" s="33">
        <v>10</v>
      </c>
      <c r="BB19" s="33"/>
      <c r="BC19" s="33"/>
    </row>
    <row r="20" spans="1:55" ht="15" customHeight="1">
      <c r="A20" s="11">
        <v>31</v>
      </c>
      <c r="B20" s="20">
        <v>2064</v>
      </c>
      <c r="C20" s="20" t="s">
        <v>33</v>
      </c>
      <c r="D20" s="37" t="s">
        <v>110</v>
      </c>
      <c r="E20" s="34" t="s">
        <v>274</v>
      </c>
      <c r="F20" s="34" t="s">
        <v>279</v>
      </c>
      <c r="G20" s="35" t="s">
        <v>286</v>
      </c>
      <c r="H20" s="40" t="s">
        <v>300</v>
      </c>
      <c r="I20" s="34" t="s">
        <v>319</v>
      </c>
      <c r="J20" s="34" t="s">
        <v>34</v>
      </c>
      <c r="K20" s="34" t="s">
        <v>111</v>
      </c>
      <c r="L20" s="34" t="s">
        <v>89</v>
      </c>
      <c r="M20" s="34" t="s">
        <v>88</v>
      </c>
      <c r="N20" s="34" t="s">
        <v>68</v>
      </c>
      <c r="O20" s="34" t="s">
        <v>112</v>
      </c>
      <c r="P20" s="33" t="s">
        <v>113</v>
      </c>
      <c r="Q20" s="34" t="s">
        <v>114</v>
      </c>
      <c r="R20" s="33"/>
      <c r="S20" s="33">
        <v>50</v>
      </c>
      <c r="T20" s="33">
        <v>30</v>
      </c>
      <c r="U20" s="33">
        <v>50</v>
      </c>
      <c r="V20" s="33">
        <v>30</v>
      </c>
      <c r="W20" s="33">
        <v>50</v>
      </c>
      <c r="X20" s="33"/>
      <c r="Y20" s="33">
        <v>20</v>
      </c>
      <c r="Z20" s="33"/>
      <c r="AA20" s="33">
        <v>50</v>
      </c>
      <c r="AB20" s="33">
        <v>50</v>
      </c>
      <c r="AC20" s="33"/>
      <c r="AD20" s="33"/>
      <c r="AE20" s="33">
        <v>20</v>
      </c>
      <c r="AF20" s="33">
        <v>40</v>
      </c>
      <c r="AG20" s="33"/>
      <c r="AH20" s="33">
        <v>20</v>
      </c>
      <c r="AI20" s="33"/>
      <c r="AJ20" s="33">
        <v>40</v>
      </c>
      <c r="AK20" s="33">
        <v>20</v>
      </c>
      <c r="AL20" s="33">
        <v>20</v>
      </c>
      <c r="AM20" s="45">
        <f t="shared" ref="AM20" si="3">SUM(R20:AL20)</f>
        <v>490</v>
      </c>
      <c r="AN20" s="33"/>
      <c r="AO20" s="33"/>
      <c r="AP20" s="33"/>
      <c r="AQ20" s="33">
        <v>15</v>
      </c>
      <c r="AR20" s="33">
        <v>10</v>
      </c>
      <c r="AS20" s="33">
        <v>10</v>
      </c>
      <c r="AT20" s="33">
        <v>10</v>
      </c>
      <c r="AU20" s="33"/>
      <c r="AV20" s="33">
        <v>10</v>
      </c>
      <c r="AW20" s="33">
        <v>10</v>
      </c>
      <c r="AX20" s="33"/>
      <c r="AY20" s="33"/>
      <c r="AZ20" s="33"/>
      <c r="BA20" s="33">
        <v>10</v>
      </c>
      <c r="BB20" s="33"/>
      <c r="BC20" s="33"/>
    </row>
    <row r="21" spans="1:55" ht="15" customHeight="1">
      <c r="A21" s="11">
        <v>34</v>
      </c>
      <c r="B21" s="23">
        <v>1695</v>
      </c>
      <c r="C21" s="23" t="s">
        <v>33</v>
      </c>
      <c r="D21" s="37" t="s">
        <v>119</v>
      </c>
      <c r="E21" s="34" t="s">
        <v>274</v>
      </c>
      <c r="F21" s="34" t="s">
        <v>280</v>
      </c>
      <c r="G21" s="35" t="s">
        <v>286</v>
      </c>
      <c r="H21" s="40" t="s">
        <v>301</v>
      </c>
      <c r="I21" s="34" t="s">
        <v>319</v>
      </c>
      <c r="J21" s="34" t="s">
        <v>115</v>
      </c>
      <c r="K21" s="34" t="s">
        <v>120</v>
      </c>
      <c r="L21" s="34" t="s">
        <v>89</v>
      </c>
      <c r="M21" s="34" t="s">
        <v>117</v>
      </c>
      <c r="N21" s="34" t="s">
        <v>118</v>
      </c>
      <c r="O21" s="34">
        <v>8055536933</v>
      </c>
      <c r="P21" s="34" t="s">
        <v>121</v>
      </c>
      <c r="Q21" s="34" t="s">
        <v>122</v>
      </c>
      <c r="R21" s="33"/>
      <c r="S21" s="33">
        <v>50</v>
      </c>
      <c r="T21" s="33">
        <v>30</v>
      </c>
      <c r="U21" s="33">
        <v>50</v>
      </c>
      <c r="V21" s="33">
        <v>30</v>
      </c>
      <c r="W21" s="33">
        <v>50</v>
      </c>
      <c r="X21" s="33"/>
      <c r="Y21" s="33">
        <v>20</v>
      </c>
      <c r="Z21" s="33"/>
      <c r="AA21" s="33">
        <v>50</v>
      </c>
      <c r="AB21" s="33">
        <v>50</v>
      </c>
      <c r="AC21" s="33"/>
      <c r="AD21" s="33"/>
      <c r="AE21" s="33">
        <v>20</v>
      </c>
      <c r="AF21" s="33">
        <v>40</v>
      </c>
      <c r="AG21" s="33"/>
      <c r="AH21" s="33">
        <v>20</v>
      </c>
      <c r="AI21" s="33"/>
      <c r="AJ21" s="33">
        <v>40</v>
      </c>
      <c r="AK21" s="33">
        <v>20</v>
      </c>
      <c r="AL21" s="33">
        <v>20</v>
      </c>
      <c r="AM21" s="45">
        <f t="shared" ref="AM21:AM28" si="4">SUM(R21:AL21)</f>
        <v>490</v>
      </c>
      <c r="AN21" s="33"/>
      <c r="AO21" s="33"/>
      <c r="AP21" s="33"/>
      <c r="AQ21" s="33">
        <v>15</v>
      </c>
      <c r="AR21" s="33">
        <v>10</v>
      </c>
      <c r="AS21" s="33">
        <v>10</v>
      </c>
      <c r="AT21" s="33">
        <v>10</v>
      </c>
      <c r="AU21" s="33"/>
      <c r="AV21" s="33">
        <v>10</v>
      </c>
      <c r="AW21" s="33">
        <v>10</v>
      </c>
      <c r="AX21" s="33"/>
      <c r="AY21" s="33"/>
      <c r="AZ21" s="33"/>
      <c r="BA21" s="33">
        <v>10</v>
      </c>
      <c r="BB21" s="33"/>
      <c r="BC21" s="33"/>
    </row>
    <row r="22" spans="1:55" ht="15" customHeight="1">
      <c r="A22" s="11">
        <v>35</v>
      </c>
      <c r="B22" s="13">
        <v>1680</v>
      </c>
      <c r="C22" s="13" t="s">
        <v>33</v>
      </c>
      <c r="D22" s="37" t="s">
        <v>123</v>
      </c>
      <c r="E22" s="34" t="s">
        <v>274</v>
      </c>
      <c r="F22" s="34" t="s">
        <v>280</v>
      </c>
      <c r="G22" s="35" t="s">
        <v>286</v>
      </c>
      <c r="H22" s="40" t="s">
        <v>302</v>
      </c>
      <c r="I22" s="34" t="s">
        <v>319</v>
      </c>
      <c r="J22" s="34" t="s">
        <v>115</v>
      </c>
      <c r="K22" s="34" t="s">
        <v>124</v>
      </c>
      <c r="L22" s="34" t="s">
        <v>89</v>
      </c>
      <c r="M22" s="34" t="s">
        <v>117</v>
      </c>
      <c r="N22" s="34" t="s">
        <v>118</v>
      </c>
      <c r="O22" s="34">
        <v>9834727496</v>
      </c>
      <c r="P22" s="34" t="s">
        <v>125</v>
      </c>
      <c r="Q22" s="34" t="s">
        <v>126</v>
      </c>
      <c r="R22" s="33"/>
      <c r="S22" s="33">
        <v>50</v>
      </c>
      <c r="T22" s="33">
        <v>30</v>
      </c>
      <c r="U22" s="33">
        <v>50</v>
      </c>
      <c r="V22" s="33">
        <v>30</v>
      </c>
      <c r="W22" s="33">
        <v>50</v>
      </c>
      <c r="X22" s="33"/>
      <c r="Y22" s="33">
        <v>20</v>
      </c>
      <c r="Z22" s="33"/>
      <c r="AA22" s="33">
        <v>50</v>
      </c>
      <c r="AB22" s="33">
        <v>50</v>
      </c>
      <c r="AC22" s="33"/>
      <c r="AD22" s="33"/>
      <c r="AE22" s="33">
        <v>20</v>
      </c>
      <c r="AF22" s="33">
        <v>40</v>
      </c>
      <c r="AG22" s="33"/>
      <c r="AH22" s="33">
        <v>20</v>
      </c>
      <c r="AI22" s="33">
        <v>50</v>
      </c>
      <c r="AJ22" s="33">
        <v>100</v>
      </c>
      <c r="AK22" s="33">
        <v>20</v>
      </c>
      <c r="AL22" s="33">
        <v>20</v>
      </c>
      <c r="AM22" s="45">
        <f t="shared" si="4"/>
        <v>600</v>
      </c>
      <c r="AN22" s="33"/>
      <c r="AO22" s="33"/>
      <c r="AP22" s="33"/>
      <c r="AQ22" s="33">
        <v>15</v>
      </c>
      <c r="AR22" s="33">
        <v>10</v>
      </c>
      <c r="AS22" s="33">
        <v>10</v>
      </c>
      <c r="AT22" s="33"/>
      <c r="AU22" s="33">
        <v>10</v>
      </c>
      <c r="AV22" s="33">
        <v>10</v>
      </c>
      <c r="AW22" s="33">
        <v>10</v>
      </c>
      <c r="AX22" s="33"/>
      <c r="AY22" s="33"/>
      <c r="AZ22" s="33"/>
      <c r="BA22" s="33">
        <v>10</v>
      </c>
      <c r="BB22" s="33"/>
      <c r="BC22" s="33"/>
    </row>
    <row r="23" spans="1:55" ht="15" customHeight="1">
      <c r="A23" s="11">
        <v>36</v>
      </c>
      <c r="B23" s="13">
        <v>2121</v>
      </c>
      <c r="C23" s="13" t="s">
        <v>33</v>
      </c>
      <c r="D23" s="34" t="s">
        <v>127</v>
      </c>
      <c r="E23" s="34" t="s">
        <v>274</v>
      </c>
      <c r="F23" s="34" t="s">
        <v>280</v>
      </c>
      <c r="G23" s="35" t="s">
        <v>286</v>
      </c>
      <c r="H23" s="38" t="s">
        <v>303</v>
      </c>
      <c r="I23" s="34" t="s">
        <v>319</v>
      </c>
      <c r="J23" s="34" t="s">
        <v>115</v>
      </c>
      <c r="K23" s="34" t="s">
        <v>128</v>
      </c>
      <c r="L23" s="34" t="s">
        <v>89</v>
      </c>
      <c r="M23" s="34" t="s">
        <v>117</v>
      </c>
      <c r="N23" s="34" t="s">
        <v>118</v>
      </c>
      <c r="O23" s="33">
        <v>8446103767</v>
      </c>
      <c r="P23" s="39" t="s">
        <v>129</v>
      </c>
      <c r="Q23" s="34" t="s">
        <v>130</v>
      </c>
      <c r="R23" s="33"/>
      <c r="S23" s="33">
        <v>50</v>
      </c>
      <c r="T23" s="33">
        <v>30</v>
      </c>
      <c r="U23" s="33">
        <v>50</v>
      </c>
      <c r="V23" s="33">
        <v>30</v>
      </c>
      <c r="W23" s="33">
        <v>70</v>
      </c>
      <c r="X23" s="33"/>
      <c r="Y23" s="33">
        <v>20</v>
      </c>
      <c r="Z23" s="33"/>
      <c r="AA23" s="33">
        <v>150</v>
      </c>
      <c r="AB23" s="33">
        <v>50</v>
      </c>
      <c r="AC23" s="33"/>
      <c r="AD23" s="33"/>
      <c r="AE23" s="33">
        <v>20</v>
      </c>
      <c r="AF23" s="33">
        <v>40</v>
      </c>
      <c r="AG23" s="33"/>
      <c r="AH23" s="33">
        <v>20</v>
      </c>
      <c r="AI23" s="33"/>
      <c r="AJ23" s="33">
        <v>40</v>
      </c>
      <c r="AK23" s="33">
        <v>20</v>
      </c>
      <c r="AL23" s="33">
        <v>20</v>
      </c>
      <c r="AM23" s="45">
        <f t="shared" si="4"/>
        <v>610</v>
      </c>
      <c r="AN23" s="33"/>
      <c r="AO23" s="33"/>
      <c r="AP23" s="33"/>
      <c r="AQ23" s="33">
        <v>15</v>
      </c>
      <c r="AR23" s="33">
        <v>10</v>
      </c>
      <c r="AS23" s="33">
        <v>10</v>
      </c>
      <c r="AT23" s="33"/>
      <c r="AU23" s="33">
        <v>10</v>
      </c>
      <c r="AV23" s="33">
        <v>10</v>
      </c>
      <c r="AW23" s="33">
        <v>10</v>
      </c>
      <c r="AX23" s="33">
        <v>20</v>
      </c>
      <c r="AY23" s="33"/>
      <c r="AZ23" s="33"/>
      <c r="BA23" s="33">
        <v>10</v>
      </c>
      <c r="BB23" s="33"/>
      <c r="BC23" s="33">
        <v>10</v>
      </c>
    </row>
    <row r="24" spans="1:55" ht="15" customHeight="1">
      <c r="A24" s="11">
        <v>37</v>
      </c>
      <c r="B24" s="13">
        <v>1706</v>
      </c>
      <c r="C24" s="13" t="s">
        <v>33</v>
      </c>
      <c r="D24" s="37" t="s">
        <v>131</v>
      </c>
      <c r="E24" s="34" t="s">
        <v>274</v>
      </c>
      <c r="F24" s="34" t="s">
        <v>280</v>
      </c>
      <c r="G24" s="35" t="s">
        <v>286</v>
      </c>
      <c r="H24" s="40" t="s">
        <v>304</v>
      </c>
      <c r="I24" s="34" t="s">
        <v>319</v>
      </c>
      <c r="J24" s="34" t="s">
        <v>115</v>
      </c>
      <c r="K24" s="34" t="s">
        <v>132</v>
      </c>
      <c r="L24" s="34" t="s">
        <v>89</v>
      </c>
      <c r="M24" s="34" t="s">
        <v>117</v>
      </c>
      <c r="N24" s="34" t="s">
        <v>118</v>
      </c>
      <c r="O24" s="34">
        <v>9209699471</v>
      </c>
      <c r="P24" s="34" t="s">
        <v>133</v>
      </c>
      <c r="Q24" s="34" t="s">
        <v>134</v>
      </c>
      <c r="R24" s="33"/>
      <c r="S24" s="33">
        <v>50</v>
      </c>
      <c r="T24" s="33">
        <v>30</v>
      </c>
      <c r="U24" s="33">
        <v>50</v>
      </c>
      <c r="V24" s="33">
        <v>100</v>
      </c>
      <c r="W24" s="33">
        <v>250</v>
      </c>
      <c r="X24" s="33"/>
      <c r="Y24" s="33">
        <v>20</v>
      </c>
      <c r="Z24" s="33"/>
      <c r="AA24" s="33">
        <v>50</v>
      </c>
      <c r="AB24" s="33">
        <v>50</v>
      </c>
      <c r="AC24" s="33"/>
      <c r="AD24" s="33"/>
      <c r="AE24" s="33">
        <v>20</v>
      </c>
      <c r="AF24" s="33">
        <v>40</v>
      </c>
      <c r="AG24" s="33"/>
      <c r="AH24" s="33">
        <v>20</v>
      </c>
      <c r="AI24" s="33">
        <v>100</v>
      </c>
      <c r="AJ24" s="33">
        <v>40</v>
      </c>
      <c r="AK24" s="33">
        <v>20</v>
      </c>
      <c r="AL24" s="33">
        <v>20</v>
      </c>
      <c r="AM24" s="45">
        <f t="shared" si="4"/>
        <v>860</v>
      </c>
      <c r="AN24" s="33"/>
      <c r="AO24" s="33"/>
      <c r="AP24" s="33"/>
      <c r="AQ24" s="33">
        <v>15</v>
      </c>
      <c r="AR24" s="33">
        <v>10</v>
      </c>
      <c r="AS24" s="33">
        <v>10</v>
      </c>
      <c r="AT24" s="33"/>
      <c r="AU24" s="33">
        <v>10</v>
      </c>
      <c r="AV24" s="33">
        <v>10</v>
      </c>
      <c r="AW24" s="33">
        <v>10</v>
      </c>
      <c r="AX24" s="33">
        <v>20</v>
      </c>
      <c r="AY24" s="33"/>
      <c r="AZ24" s="33"/>
      <c r="BA24" s="33">
        <v>10</v>
      </c>
      <c r="BB24" s="33"/>
      <c r="BC24" s="33">
        <v>10</v>
      </c>
    </row>
    <row r="25" spans="1:55" ht="15" customHeight="1">
      <c r="A25" s="11">
        <v>38</v>
      </c>
      <c r="B25" s="13">
        <v>2175</v>
      </c>
      <c r="C25" s="13" t="s">
        <v>33</v>
      </c>
      <c r="D25" s="37" t="s">
        <v>135</v>
      </c>
      <c r="E25" s="34" t="s">
        <v>274</v>
      </c>
      <c r="F25" s="34" t="s">
        <v>280</v>
      </c>
      <c r="G25" s="35" t="s">
        <v>286</v>
      </c>
      <c r="H25" s="40" t="s">
        <v>305</v>
      </c>
      <c r="I25" s="34" t="s">
        <v>319</v>
      </c>
      <c r="J25" s="34" t="s">
        <v>115</v>
      </c>
      <c r="K25" s="34" t="s">
        <v>136</v>
      </c>
      <c r="L25" s="34" t="s">
        <v>89</v>
      </c>
      <c r="M25" s="34" t="s">
        <v>117</v>
      </c>
      <c r="N25" s="34" t="s">
        <v>118</v>
      </c>
      <c r="O25" s="34">
        <v>9321590089</v>
      </c>
      <c r="P25" s="34" t="s">
        <v>137</v>
      </c>
      <c r="Q25" s="34" t="s">
        <v>138</v>
      </c>
      <c r="R25" s="33"/>
      <c r="S25" s="33">
        <v>50</v>
      </c>
      <c r="T25" s="33">
        <v>30</v>
      </c>
      <c r="U25" s="33">
        <v>50</v>
      </c>
      <c r="V25" s="33">
        <v>30</v>
      </c>
      <c r="W25" s="33">
        <v>30</v>
      </c>
      <c r="X25" s="33"/>
      <c r="Y25" s="33"/>
      <c r="Z25" s="33"/>
      <c r="AA25" s="33">
        <v>50</v>
      </c>
      <c r="AB25" s="33">
        <v>50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45">
        <f t="shared" si="4"/>
        <v>290</v>
      </c>
      <c r="AN25" s="33"/>
      <c r="AO25" s="33"/>
      <c r="AP25" s="33"/>
      <c r="AQ25" s="33">
        <v>15</v>
      </c>
      <c r="AR25" s="33">
        <v>10</v>
      </c>
      <c r="AS25" s="33">
        <v>10</v>
      </c>
      <c r="AT25" s="33"/>
      <c r="AU25" s="33">
        <v>10</v>
      </c>
      <c r="AV25" s="33">
        <v>10</v>
      </c>
      <c r="AW25" s="33">
        <v>10</v>
      </c>
      <c r="AX25" s="33">
        <v>20</v>
      </c>
      <c r="AY25" s="33"/>
      <c r="AZ25" s="33"/>
      <c r="BA25" s="33">
        <v>10</v>
      </c>
      <c r="BB25" s="33"/>
      <c r="BC25" s="33">
        <v>7</v>
      </c>
    </row>
    <row r="26" spans="1:55" ht="15" customHeight="1">
      <c r="A26" s="11">
        <v>39</v>
      </c>
      <c r="B26" s="20">
        <v>2228</v>
      </c>
      <c r="C26" s="20" t="s">
        <v>33</v>
      </c>
      <c r="D26" s="41" t="s">
        <v>139</v>
      </c>
      <c r="E26" s="34" t="s">
        <v>274</v>
      </c>
      <c r="F26" s="34" t="s">
        <v>280</v>
      </c>
      <c r="G26" s="35" t="s">
        <v>286</v>
      </c>
      <c r="H26" s="40" t="s">
        <v>306</v>
      </c>
      <c r="I26" s="34" t="s">
        <v>319</v>
      </c>
      <c r="J26" s="34" t="s">
        <v>140</v>
      </c>
      <c r="K26" s="34" t="s">
        <v>141</v>
      </c>
      <c r="L26" s="34" t="s">
        <v>89</v>
      </c>
      <c r="M26" s="34" t="s">
        <v>117</v>
      </c>
      <c r="N26" s="34" t="s">
        <v>118</v>
      </c>
      <c r="O26" s="34">
        <v>7990520824</v>
      </c>
      <c r="P26" s="34" t="s">
        <v>142</v>
      </c>
      <c r="Q26" s="34" t="s">
        <v>143</v>
      </c>
      <c r="R26" s="33"/>
      <c r="S26" s="33">
        <v>50</v>
      </c>
      <c r="T26" s="33">
        <v>30</v>
      </c>
      <c r="U26" s="33">
        <v>50</v>
      </c>
      <c r="V26" s="33">
        <v>30</v>
      </c>
      <c r="W26" s="33">
        <v>30</v>
      </c>
      <c r="X26" s="33"/>
      <c r="Y26" s="33"/>
      <c r="Z26" s="33"/>
      <c r="AA26" s="33">
        <v>50</v>
      </c>
      <c r="AB26" s="33">
        <v>50</v>
      </c>
      <c r="AC26" s="33"/>
      <c r="AD26" s="33"/>
      <c r="AE26" s="33">
        <v>20</v>
      </c>
      <c r="AF26" s="33">
        <v>40</v>
      </c>
      <c r="AG26" s="33"/>
      <c r="AH26" s="33">
        <v>20</v>
      </c>
      <c r="AI26" s="33">
        <v>30</v>
      </c>
      <c r="AJ26" s="33">
        <v>40</v>
      </c>
      <c r="AK26" s="33">
        <v>20</v>
      </c>
      <c r="AL26" s="33">
        <v>20</v>
      </c>
      <c r="AM26" s="45">
        <f t="shared" si="4"/>
        <v>480</v>
      </c>
      <c r="AN26" s="33"/>
      <c r="AO26" s="33"/>
      <c r="AP26" s="33"/>
      <c r="AQ26" s="33">
        <v>15</v>
      </c>
      <c r="AR26" s="33">
        <v>10</v>
      </c>
      <c r="AS26" s="33">
        <v>10</v>
      </c>
      <c r="AT26" s="33"/>
      <c r="AU26" s="33">
        <v>10</v>
      </c>
      <c r="AV26" s="33">
        <v>10</v>
      </c>
      <c r="AW26" s="33">
        <v>10</v>
      </c>
      <c r="AX26" s="33"/>
      <c r="AY26" s="33"/>
      <c r="AZ26" s="33"/>
      <c r="BA26" s="33">
        <v>10</v>
      </c>
      <c r="BB26" s="33"/>
      <c r="BC26" s="33"/>
    </row>
    <row r="27" spans="1:55" ht="15" customHeight="1">
      <c r="A27" s="11">
        <v>40</v>
      </c>
      <c r="B27" s="13">
        <v>1383</v>
      </c>
      <c r="C27" s="13" t="s">
        <v>33</v>
      </c>
      <c r="D27" s="37" t="s">
        <v>144</v>
      </c>
      <c r="E27" s="34" t="s">
        <v>274</v>
      </c>
      <c r="F27" s="34" t="s">
        <v>281</v>
      </c>
      <c r="G27" s="35" t="s">
        <v>286</v>
      </c>
      <c r="H27" s="40" t="s">
        <v>307</v>
      </c>
      <c r="I27" s="34" t="s">
        <v>319</v>
      </c>
      <c r="J27" s="33" t="s">
        <v>145</v>
      </c>
      <c r="K27" s="34" t="s">
        <v>146</v>
      </c>
      <c r="L27" s="34" t="s">
        <v>89</v>
      </c>
      <c r="M27" s="34" t="s">
        <v>117</v>
      </c>
      <c r="N27" s="34" t="s">
        <v>118</v>
      </c>
      <c r="O27" s="34">
        <v>9752595376</v>
      </c>
      <c r="P27" s="34" t="s">
        <v>147</v>
      </c>
      <c r="Q27" s="34" t="s">
        <v>148</v>
      </c>
      <c r="R27" s="33"/>
      <c r="S27" s="33">
        <v>50</v>
      </c>
      <c r="T27" s="33">
        <v>30</v>
      </c>
      <c r="U27" s="33">
        <v>50</v>
      </c>
      <c r="V27" s="33">
        <v>30</v>
      </c>
      <c r="W27" s="33">
        <v>50</v>
      </c>
      <c r="X27" s="33"/>
      <c r="Y27" s="33">
        <v>20</v>
      </c>
      <c r="Z27" s="33"/>
      <c r="AA27" s="33">
        <v>50</v>
      </c>
      <c r="AB27" s="33">
        <v>50</v>
      </c>
      <c r="AC27" s="33"/>
      <c r="AD27" s="33"/>
      <c r="AE27" s="33">
        <v>20</v>
      </c>
      <c r="AF27" s="33">
        <v>40</v>
      </c>
      <c r="AG27" s="33"/>
      <c r="AH27" s="33">
        <v>20</v>
      </c>
      <c r="AI27" s="33"/>
      <c r="AJ27" s="33">
        <v>40</v>
      </c>
      <c r="AK27" s="33">
        <v>20</v>
      </c>
      <c r="AL27" s="33">
        <v>20</v>
      </c>
      <c r="AM27" s="45">
        <f t="shared" si="4"/>
        <v>490</v>
      </c>
      <c r="AN27" s="33"/>
      <c r="AO27" s="33"/>
      <c r="AP27" s="33"/>
      <c r="AQ27" s="33">
        <v>20</v>
      </c>
      <c r="AR27" s="33">
        <v>10</v>
      </c>
      <c r="AS27" s="33">
        <v>10</v>
      </c>
      <c r="AT27" s="33"/>
      <c r="AU27" s="33">
        <v>10</v>
      </c>
      <c r="AV27" s="33">
        <v>10</v>
      </c>
      <c r="AW27" s="33">
        <v>10</v>
      </c>
      <c r="AX27" s="33"/>
      <c r="AY27" s="33"/>
      <c r="AZ27" s="33"/>
      <c r="BA27" s="33">
        <v>10</v>
      </c>
      <c r="BB27" s="33"/>
      <c r="BC27" s="33"/>
    </row>
    <row r="28" spans="1:55" ht="15" customHeight="1">
      <c r="A28" s="11">
        <v>41</v>
      </c>
      <c r="B28" s="13">
        <v>1747</v>
      </c>
      <c r="C28" s="13" t="s">
        <v>33</v>
      </c>
      <c r="D28" s="37" t="s">
        <v>149</v>
      </c>
      <c r="E28" s="34" t="s">
        <v>274</v>
      </c>
      <c r="F28" s="34" t="s">
        <v>281</v>
      </c>
      <c r="G28" s="35" t="s">
        <v>286</v>
      </c>
      <c r="H28" s="40" t="s">
        <v>308</v>
      </c>
      <c r="I28" s="34" t="s">
        <v>319</v>
      </c>
      <c r="J28" s="33" t="s">
        <v>145</v>
      </c>
      <c r="K28" s="34" t="s">
        <v>150</v>
      </c>
      <c r="L28" s="34" t="s">
        <v>89</v>
      </c>
      <c r="M28" s="34" t="s">
        <v>117</v>
      </c>
      <c r="N28" s="34" t="s">
        <v>118</v>
      </c>
      <c r="O28" s="34" t="s">
        <v>151</v>
      </c>
      <c r="P28" s="34" t="s">
        <v>152</v>
      </c>
      <c r="Q28" s="34" t="s">
        <v>153</v>
      </c>
      <c r="R28" s="33"/>
      <c r="S28" s="33">
        <v>50</v>
      </c>
      <c r="T28" s="33">
        <v>30</v>
      </c>
      <c r="U28" s="33">
        <v>100</v>
      </c>
      <c r="V28" s="33">
        <v>20</v>
      </c>
      <c r="W28" s="33">
        <v>100</v>
      </c>
      <c r="X28" s="33"/>
      <c r="Y28" s="33">
        <v>20</v>
      </c>
      <c r="Z28" s="33"/>
      <c r="AA28" s="33">
        <v>100</v>
      </c>
      <c r="AB28" s="33">
        <v>50</v>
      </c>
      <c r="AC28" s="33"/>
      <c r="AD28" s="33"/>
      <c r="AE28" s="33">
        <v>20</v>
      </c>
      <c r="AF28" s="33">
        <v>40</v>
      </c>
      <c r="AG28" s="33"/>
      <c r="AH28" s="33">
        <v>20</v>
      </c>
      <c r="AI28" s="33"/>
      <c r="AJ28" s="33">
        <v>40</v>
      </c>
      <c r="AK28" s="33">
        <v>100</v>
      </c>
      <c r="AL28" s="33">
        <v>20</v>
      </c>
      <c r="AM28" s="45">
        <f t="shared" si="4"/>
        <v>710</v>
      </c>
      <c r="AN28" s="33"/>
      <c r="AO28" s="33"/>
      <c r="AP28" s="33"/>
      <c r="AQ28" s="33">
        <v>20</v>
      </c>
      <c r="AR28" s="33">
        <v>10</v>
      </c>
      <c r="AS28" s="33">
        <v>10</v>
      </c>
      <c r="AT28" s="33"/>
      <c r="AU28" s="33">
        <v>10</v>
      </c>
      <c r="AV28" s="33">
        <v>10</v>
      </c>
      <c r="AW28" s="33">
        <v>10</v>
      </c>
      <c r="AX28" s="33">
        <v>20</v>
      </c>
      <c r="AY28" s="33"/>
      <c r="AZ28" s="33"/>
      <c r="BA28" s="33">
        <v>10</v>
      </c>
      <c r="BB28" s="33"/>
      <c r="BC28" s="33"/>
    </row>
    <row r="29" spans="1:55" ht="15" customHeight="1">
      <c r="A29" s="11">
        <v>43</v>
      </c>
      <c r="B29" s="13">
        <v>1696</v>
      </c>
      <c r="C29" s="13" t="s">
        <v>33</v>
      </c>
      <c r="D29" s="37" t="s">
        <v>156</v>
      </c>
      <c r="E29" s="34" t="s">
        <v>274</v>
      </c>
      <c r="F29" s="34" t="s">
        <v>282</v>
      </c>
      <c r="G29" s="35" t="s">
        <v>286</v>
      </c>
      <c r="H29" s="40" t="s">
        <v>309</v>
      </c>
      <c r="I29" s="34" t="s">
        <v>319</v>
      </c>
      <c r="J29" s="34" t="s">
        <v>157</v>
      </c>
      <c r="K29" s="34" t="s">
        <v>158</v>
      </c>
      <c r="L29" s="34" t="s">
        <v>116</v>
      </c>
      <c r="M29" s="34" t="s">
        <v>154</v>
      </c>
      <c r="N29" s="34" t="s">
        <v>118</v>
      </c>
      <c r="O29" s="34">
        <v>9959340385</v>
      </c>
      <c r="P29" s="34" t="s">
        <v>159</v>
      </c>
      <c r="Q29" s="34" t="s">
        <v>160</v>
      </c>
      <c r="R29" s="33"/>
      <c r="S29" s="33">
        <v>50</v>
      </c>
      <c r="T29" s="33">
        <v>30</v>
      </c>
      <c r="U29" s="33">
        <v>50</v>
      </c>
      <c r="V29" s="33">
        <v>30</v>
      </c>
      <c r="W29" s="33">
        <v>50</v>
      </c>
      <c r="X29" s="33"/>
      <c r="Y29" s="33">
        <v>20</v>
      </c>
      <c r="Z29" s="33"/>
      <c r="AA29" s="33">
        <v>50</v>
      </c>
      <c r="AB29" s="33">
        <v>50</v>
      </c>
      <c r="AC29" s="33"/>
      <c r="AD29" s="33"/>
      <c r="AE29" s="33">
        <v>20</v>
      </c>
      <c r="AF29" s="33">
        <v>40</v>
      </c>
      <c r="AG29" s="33"/>
      <c r="AH29" s="33">
        <v>20</v>
      </c>
      <c r="AI29" s="33"/>
      <c r="AJ29" s="33"/>
      <c r="AK29" s="33">
        <v>20</v>
      </c>
      <c r="AL29" s="33">
        <v>20</v>
      </c>
      <c r="AM29" s="45">
        <f t="shared" ref="AM29:AM34" si="5">SUM(Q29:AL29)</f>
        <v>450</v>
      </c>
      <c r="AN29" s="33"/>
      <c r="AO29" s="33"/>
      <c r="AP29" s="33"/>
      <c r="AQ29" s="33">
        <v>15</v>
      </c>
      <c r="AR29" s="33">
        <v>10</v>
      </c>
      <c r="AS29" s="33">
        <v>10</v>
      </c>
      <c r="AT29" s="33"/>
      <c r="AU29" s="33">
        <v>10</v>
      </c>
      <c r="AV29" s="33">
        <v>10</v>
      </c>
      <c r="AW29" s="33">
        <v>10</v>
      </c>
      <c r="AX29" s="33"/>
      <c r="AY29" s="33"/>
      <c r="AZ29" s="33"/>
      <c r="BA29" s="33">
        <v>10</v>
      </c>
      <c r="BB29" s="33"/>
      <c r="BC29" s="33"/>
    </row>
    <row r="30" spans="1:55" ht="15" customHeight="1">
      <c r="A30" s="11">
        <v>44</v>
      </c>
      <c r="B30" s="13">
        <v>2245</v>
      </c>
      <c r="C30" s="13" t="s">
        <v>33</v>
      </c>
      <c r="D30" s="37" t="s">
        <v>161</v>
      </c>
      <c r="E30" s="34" t="s">
        <v>274</v>
      </c>
      <c r="F30" s="34" t="s">
        <v>283</v>
      </c>
      <c r="G30" s="35" t="s">
        <v>286</v>
      </c>
      <c r="H30" s="40" t="s">
        <v>310</v>
      </c>
      <c r="I30" s="34" t="s">
        <v>319</v>
      </c>
      <c r="J30" s="34" t="s">
        <v>155</v>
      </c>
      <c r="K30" s="34" t="s">
        <v>162</v>
      </c>
      <c r="L30" s="34" t="s">
        <v>116</v>
      </c>
      <c r="M30" s="34" t="s">
        <v>154</v>
      </c>
      <c r="N30" s="34" t="s">
        <v>118</v>
      </c>
      <c r="O30" s="34">
        <v>7406044768</v>
      </c>
      <c r="P30" s="34" t="s">
        <v>163</v>
      </c>
      <c r="Q30" s="34" t="s">
        <v>164</v>
      </c>
      <c r="R30" s="33"/>
      <c r="S30" s="33">
        <v>50</v>
      </c>
      <c r="T30" s="33">
        <v>30</v>
      </c>
      <c r="U30" s="33">
        <v>50</v>
      </c>
      <c r="V30" s="33">
        <v>30</v>
      </c>
      <c r="W30" s="33">
        <v>50</v>
      </c>
      <c r="X30" s="33"/>
      <c r="Y30" s="33">
        <v>20</v>
      </c>
      <c r="Z30" s="33"/>
      <c r="AA30" s="33">
        <v>50</v>
      </c>
      <c r="AB30" s="33">
        <v>50</v>
      </c>
      <c r="AC30" s="33"/>
      <c r="AD30" s="33"/>
      <c r="AE30" s="33">
        <v>20</v>
      </c>
      <c r="AF30" s="33">
        <v>40</v>
      </c>
      <c r="AG30" s="33"/>
      <c r="AH30" s="33">
        <v>20</v>
      </c>
      <c r="AI30" s="33"/>
      <c r="AJ30" s="33"/>
      <c r="AK30" s="33">
        <v>20</v>
      </c>
      <c r="AL30" s="33">
        <v>20</v>
      </c>
      <c r="AM30" s="45">
        <f t="shared" si="5"/>
        <v>450</v>
      </c>
      <c r="AN30" s="33"/>
      <c r="AO30" s="33"/>
      <c r="AP30" s="33"/>
      <c r="AQ30" s="33">
        <v>15</v>
      </c>
      <c r="AR30" s="33">
        <v>10</v>
      </c>
      <c r="AS30" s="33">
        <v>10</v>
      </c>
      <c r="AT30" s="33"/>
      <c r="AU30" s="33">
        <v>10</v>
      </c>
      <c r="AV30" s="33">
        <v>10</v>
      </c>
      <c r="AW30" s="33">
        <v>10</v>
      </c>
      <c r="AX30" s="33"/>
      <c r="AY30" s="33"/>
      <c r="AZ30" s="33"/>
      <c r="BA30" s="33">
        <v>10</v>
      </c>
      <c r="BB30" s="33"/>
      <c r="BC30" s="33"/>
    </row>
    <row r="31" spans="1:55" ht="15" customHeight="1">
      <c r="A31" s="11">
        <v>45</v>
      </c>
      <c r="B31" s="13">
        <v>1678</v>
      </c>
      <c r="C31" s="13" t="s">
        <v>33</v>
      </c>
      <c r="D31" s="37" t="s">
        <v>165</v>
      </c>
      <c r="E31" s="34" t="s">
        <v>274</v>
      </c>
      <c r="F31" s="34" t="s">
        <v>283</v>
      </c>
      <c r="G31" s="35" t="s">
        <v>286</v>
      </c>
      <c r="H31" s="40" t="s">
        <v>311</v>
      </c>
      <c r="I31" s="34" t="s">
        <v>319</v>
      </c>
      <c r="J31" s="34" t="s">
        <v>155</v>
      </c>
      <c r="K31" s="37" t="s">
        <v>166</v>
      </c>
      <c r="L31" s="34" t="s">
        <v>116</v>
      </c>
      <c r="M31" s="34" t="s">
        <v>154</v>
      </c>
      <c r="N31" s="34" t="s">
        <v>118</v>
      </c>
      <c r="O31" s="34">
        <v>9108780496</v>
      </c>
      <c r="P31" s="34" t="s">
        <v>167</v>
      </c>
      <c r="Q31" s="34" t="s">
        <v>168</v>
      </c>
      <c r="R31" s="33"/>
      <c r="S31" s="33">
        <v>50</v>
      </c>
      <c r="T31" s="33">
        <v>30</v>
      </c>
      <c r="U31" s="33">
        <v>50</v>
      </c>
      <c r="V31" s="33">
        <v>30</v>
      </c>
      <c r="W31" s="33">
        <v>50</v>
      </c>
      <c r="X31" s="33"/>
      <c r="Y31" s="33">
        <v>20</v>
      </c>
      <c r="Z31" s="33"/>
      <c r="AA31" s="33">
        <v>50</v>
      </c>
      <c r="AB31" s="33">
        <v>50</v>
      </c>
      <c r="AC31" s="33"/>
      <c r="AD31" s="33"/>
      <c r="AE31" s="33"/>
      <c r="AF31" s="33"/>
      <c r="AG31" s="33"/>
      <c r="AH31" s="33">
        <v>20</v>
      </c>
      <c r="AI31" s="33"/>
      <c r="AJ31" s="33">
        <v>50</v>
      </c>
      <c r="AK31" s="33">
        <v>20</v>
      </c>
      <c r="AL31" s="33"/>
      <c r="AM31" s="45">
        <f t="shared" si="5"/>
        <v>420</v>
      </c>
      <c r="AN31" s="33"/>
      <c r="AO31" s="33"/>
      <c r="AP31" s="33"/>
      <c r="AQ31" s="33">
        <v>15</v>
      </c>
      <c r="AR31" s="33">
        <v>10</v>
      </c>
      <c r="AS31" s="33">
        <v>10</v>
      </c>
      <c r="AT31" s="33"/>
      <c r="AU31" s="33">
        <v>10</v>
      </c>
      <c r="AV31" s="33">
        <v>10</v>
      </c>
      <c r="AW31" s="33">
        <v>10</v>
      </c>
      <c r="AX31" s="33"/>
      <c r="AY31" s="33"/>
      <c r="AZ31" s="33"/>
      <c r="BA31" s="33">
        <v>10</v>
      </c>
      <c r="BB31" s="33"/>
      <c r="BC31" s="33"/>
    </row>
    <row r="32" spans="1:55" ht="15" customHeight="1">
      <c r="A32" s="11">
        <v>46</v>
      </c>
      <c r="B32" s="13">
        <v>2171</v>
      </c>
      <c r="C32" s="13" t="s">
        <v>33</v>
      </c>
      <c r="D32" s="37" t="s">
        <v>169</v>
      </c>
      <c r="E32" s="34" t="s">
        <v>274</v>
      </c>
      <c r="F32" s="34" t="s">
        <v>283</v>
      </c>
      <c r="G32" s="35" t="s">
        <v>286</v>
      </c>
      <c r="H32" s="40" t="s">
        <v>312</v>
      </c>
      <c r="I32" s="34" t="s">
        <v>319</v>
      </c>
      <c r="J32" s="34" t="s">
        <v>170</v>
      </c>
      <c r="K32" s="37" t="s">
        <v>171</v>
      </c>
      <c r="L32" s="34" t="s">
        <v>116</v>
      </c>
      <c r="M32" s="34" t="s">
        <v>154</v>
      </c>
      <c r="N32" s="34" t="s">
        <v>118</v>
      </c>
      <c r="O32" s="34">
        <v>9535763476</v>
      </c>
      <c r="P32" s="34" t="s">
        <v>172</v>
      </c>
      <c r="Q32" s="34" t="s">
        <v>173</v>
      </c>
      <c r="R32" s="33"/>
      <c r="S32" s="33">
        <v>50</v>
      </c>
      <c r="T32" s="33">
        <v>30</v>
      </c>
      <c r="U32" s="33">
        <v>50</v>
      </c>
      <c r="V32" s="33">
        <v>30</v>
      </c>
      <c r="W32" s="33">
        <v>50</v>
      </c>
      <c r="X32" s="33"/>
      <c r="Y32" s="33">
        <v>20</v>
      </c>
      <c r="Z32" s="33">
        <v>30</v>
      </c>
      <c r="AA32" s="33">
        <v>50</v>
      </c>
      <c r="AB32" s="33">
        <v>50</v>
      </c>
      <c r="AC32" s="33">
        <v>30</v>
      </c>
      <c r="AD32" s="33">
        <v>30</v>
      </c>
      <c r="AE32" s="33">
        <v>30</v>
      </c>
      <c r="AF32" s="33">
        <v>30</v>
      </c>
      <c r="AG32" s="33"/>
      <c r="AH32" s="33">
        <v>20</v>
      </c>
      <c r="AI32" s="33"/>
      <c r="AJ32" s="33">
        <v>40</v>
      </c>
      <c r="AK32" s="33">
        <v>20</v>
      </c>
      <c r="AL32" s="33">
        <v>30</v>
      </c>
      <c r="AM32" s="45">
        <f t="shared" si="5"/>
        <v>590</v>
      </c>
      <c r="AN32" s="33"/>
      <c r="AO32" s="33"/>
      <c r="AP32" s="33"/>
      <c r="AQ32" s="33">
        <v>15</v>
      </c>
      <c r="AR32" s="33">
        <v>10</v>
      </c>
      <c r="AS32" s="33">
        <v>10</v>
      </c>
      <c r="AT32" s="33"/>
      <c r="AU32" s="33">
        <v>10</v>
      </c>
      <c r="AV32" s="33">
        <v>10</v>
      </c>
      <c r="AW32" s="33">
        <v>10</v>
      </c>
      <c r="AX32" s="33"/>
      <c r="AY32" s="33"/>
      <c r="AZ32" s="33"/>
      <c r="BA32" s="33">
        <v>10</v>
      </c>
      <c r="BB32" s="33"/>
      <c r="BC32" s="33"/>
    </row>
    <row r="33" spans="1:55" ht="15" customHeight="1">
      <c r="A33" s="11">
        <v>47</v>
      </c>
      <c r="B33" s="13">
        <v>1755</v>
      </c>
      <c r="C33" s="13" t="s">
        <v>33</v>
      </c>
      <c r="D33" s="37" t="s">
        <v>174</v>
      </c>
      <c r="E33" s="34" t="s">
        <v>274</v>
      </c>
      <c r="F33" s="34" t="s">
        <v>284</v>
      </c>
      <c r="G33" s="35" t="s">
        <v>286</v>
      </c>
      <c r="H33" s="33" t="s">
        <v>313</v>
      </c>
      <c r="I33" s="34" t="s">
        <v>319</v>
      </c>
      <c r="J33" s="34" t="s">
        <v>170</v>
      </c>
      <c r="K33" s="34" t="s">
        <v>175</v>
      </c>
      <c r="L33" s="34" t="s">
        <v>116</v>
      </c>
      <c r="M33" s="34" t="s">
        <v>154</v>
      </c>
      <c r="N33" s="34" t="s">
        <v>118</v>
      </c>
      <c r="O33" s="34">
        <v>9381998145</v>
      </c>
      <c r="P33" s="34" t="s">
        <v>176</v>
      </c>
      <c r="Q33" s="34" t="s">
        <v>177</v>
      </c>
      <c r="R33" s="33"/>
      <c r="S33" s="33">
        <v>50</v>
      </c>
      <c r="T33" s="33">
        <v>30</v>
      </c>
      <c r="U33" s="33">
        <v>50</v>
      </c>
      <c r="V33" s="33">
        <v>30</v>
      </c>
      <c r="W33" s="33">
        <v>50</v>
      </c>
      <c r="X33" s="33"/>
      <c r="Y33" s="33">
        <v>20</v>
      </c>
      <c r="Z33" s="33">
        <v>30</v>
      </c>
      <c r="AA33" s="33">
        <v>50</v>
      </c>
      <c r="AB33" s="33">
        <v>50</v>
      </c>
      <c r="AC33" s="33">
        <v>30</v>
      </c>
      <c r="AD33" s="33">
        <v>30</v>
      </c>
      <c r="AE33" s="33">
        <v>30</v>
      </c>
      <c r="AF33" s="33">
        <v>30</v>
      </c>
      <c r="AG33" s="33"/>
      <c r="AH33" s="33">
        <v>20</v>
      </c>
      <c r="AI33" s="33"/>
      <c r="AJ33" s="33">
        <v>40</v>
      </c>
      <c r="AK33" s="33">
        <v>20</v>
      </c>
      <c r="AL33" s="33">
        <v>30</v>
      </c>
      <c r="AM33" s="45">
        <f t="shared" si="5"/>
        <v>590</v>
      </c>
      <c r="AN33" s="33"/>
      <c r="AO33" s="33"/>
      <c r="AP33" s="33"/>
      <c r="AQ33" s="33">
        <v>15</v>
      </c>
      <c r="AR33" s="33">
        <v>10</v>
      </c>
      <c r="AS33" s="33">
        <v>10</v>
      </c>
      <c r="AT33" s="33"/>
      <c r="AU33" s="33">
        <v>10</v>
      </c>
      <c r="AV33" s="33">
        <v>10</v>
      </c>
      <c r="AW33" s="33">
        <v>10</v>
      </c>
      <c r="AX33" s="33"/>
      <c r="AY33" s="33"/>
      <c r="AZ33" s="33"/>
      <c r="BA33" s="33">
        <v>10</v>
      </c>
      <c r="BB33" s="33"/>
      <c r="BC33" s="33"/>
    </row>
    <row r="34" spans="1:55" ht="15" customHeight="1">
      <c r="A34" s="11">
        <v>49</v>
      </c>
      <c r="B34" s="20">
        <v>1436</v>
      </c>
      <c r="C34" s="20" t="s">
        <v>33</v>
      </c>
      <c r="D34" s="37" t="s">
        <v>178</v>
      </c>
      <c r="E34" s="34" t="s">
        <v>274</v>
      </c>
      <c r="F34" s="34" t="s">
        <v>284</v>
      </c>
      <c r="G34" s="35" t="s">
        <v>286</v>
      </c>
      <c r="H34" s="40" t="s">
        <v>314</v>
      </c>
      <c r="I34" s="34" t="s">
        <v>319</v>
      </c>
      <c r="J34" s="34" t="s">
        <v>170</v>
      </c>
      <c r="K34" s="34" t="s">
        <v>179</v>
      </c>
      <c r="L34" s="34" t="s">
        <v>116</v>
      </c>
      <c r="M34" s="34" t="s">
        <v>154</v>
      </c>
      <c r="N34" s="34" t="s">
        <v>118</v>
      </c>
      <c r="O34" s="34">
        <v>9573801751</v>
      </c>
      <c r="P34" s="34" t="s">
        <v>180</v>
      </c>
      <c r="Q34" s="34" t="s">
        <v>181</v>
      </c>
      <c r="R34" s="33"/>
      <c r="S34" s="33">
        <v>50</v>
      </c>
      <c r="T34" s="33">
        <v>30</v>
      </c>
      <c r="U34" s="33">
        <v>50</v>
      </c>
      <c r="V34" s="33">
        <v>30</v>
      </c>
      <c r="W34" s="33">
        <v>50</v>
      </c>
      <c r="X34" s="33"/>
      <c r="Y34" s="33">
        <v>20</v>
      </c>
      <c r="Z34" s="33"/>
      <c r="AA34" s="33">
        <v>50</v>
      </c>
      <c r="AB34" s="33">
        <v>50</v>
      </c>
      <c r="AC34" s="33"/>
      <c r="AD34" s="33"/>
      <c r="AE34" s="33">
        <v>20</v>
      </c>
      <c r="AF34" s="33">
        <v>40</v>
      </c>
      <c r="AG34" s="33"/>
      <c r="AH34" s="33">
        <v>20</v>
      </c>
      <c r="AI34" s="33"/>
      <c r="AJ34" s="33">
        <v>40</v>
      </c>
      <c r="AK34" s="33">
        <v>20</v>
      </c>
      <c r="AL34" s="33">
        <v>20</v>
      </c>
      <c r="AM34" s="45">
        <f t="shared" si="5"/>
        <v>490</v>
      </c>
      <c r="AN34" s="33"/>
      <c r="AO34" s="33"/>
      <c r="AP34" s="33"/>
      <c r="AQ34" s="33">
        <v>20</v>
      </c>
      <c r="AR34" s="33">
        <v>10</v>
      </c>
      <c r="AS34" s="33">
        <v>10</v>
      </c>
      <c r="AT34" s="33"/>
      <c r="AU34" s="33">
        <v>10</v>
      </c>
      <c r="AV34" s="33">
        <v>10</v>
      </c>
      <c r="AW34" s="33">
        <v>10</v>
      </c>
      <c r="AX34" s="33">
        <v>20</v>
      </c>
      <c r="AY34" s="33"/>
      <c r="AZ34" s="33"/>
      <c r="BA34" s="33">
        <v>10</v>
      </c>
      <c r="BB34" s="33"/>
      <c r="BC34" s="33"/>
    </row>
    <row r="35" spans="1:55" ht="15" customHeight="1">
      <c r="A35" s="11">
        <v>51</v>
      </c>
      <c r="B35" s="21">
        <v>2211</v>
      </c>
      <c r="C35" s="21" t="s">
        <v>33</v>
      </c>
      <c r="D35" s="37" t="s">
        <v>185</v>
      </c>
      <c r="E35" s="34" t="s">
        <v>274</v>
      </c>
      <c r="F35" s="34" t="s">
        <v>285</v>
      </c>
      <c r="G35" s="35" t="s">
        <v>286</v>
      </c>
      <c r="H35" s="40" t="s">
        <v>315</v>
      </c>
      <c r="I35" s="34" t="s">
        <v>319</v>
      </c>
      <c r="J35" s="34" t="s">
        <v>186</v>
      </c>
      <c r="K35" s="34" t="s">
        <v>187</v>
      </c>
      <c r="L35" s="34" t="s">
        <v>116</v>
      </c>
      <c r="M35" s="34" t="s">
        <v>182</v>
      </c>
      <c r="N35" s="34" t="s">
        <v>118</v>
      </c>
      <c r="O35" s="34">
        <v>7871405586</v>
      </c>
      <c r="P35" s="34" t="s">
        <v>188</v>
      </c>
      <c r="Q35" s="34" t="s">
        <v>189</v>
      </c>
      <c r="R35" s="33"/>
      <c r="S35" s="33">
        <v>50</v>
      </c>
      <c r="T35" s="33">
        <v>30</v>
      </c>
      <c r="U35" s="33">
        <v>50</v>
      </c>
      <c r="V35" s="33">
        <v>30</v>
      </c>
      <c r="W35" s="33">
        <v>30</v>
      </c>
      <c r="X35" s="33"/>
      <c r="Y35" s="33">
        <v>20</v>
      </c>
      <c r="Z35" s="33">
        <v>30</v>
      </c>
      <c r="AA35" s="33">
        <v>50</v>
      </c>
      <c r="AB35" s="33">
        <v>50</v>
      </c>
      <c r="AC35" s="33">
        <v>30</v>
      </c>
      <c r="AD35" s="33">
        <v>30</v>
      </c>
      <c r="AE35" s="33">
        <v>20</v>
      </c>
      <c r="AF35" s="33">
        <v>20</v>
      </c>
      <c r="AG35" s="33"/>
      <c r="AH35" s="33"/>
      <c r="AI35" s="33"/>
      <c r="AJ35" s="33"/>
      <c r="AK35" s="33"/>
      <c r="AL35" s="33"/>
      <c r="AM35" s="45">
        <f t="shared" ref="AM35:AM37" si="6">SUM(R35:AL35)</f>
        <v>440</v>
      </c>
      <c r="AN35" s="33"/>
      <c r="AO35" s="33"/>
      <c r="AP35" s="33"/>
      <c r="AQ35" s="33">
        <v>15</v>
      </c>
      <c r="AR35" s="33">
        <v>10</v>
      </c>
      <c r="AS35" s="33">
        <v>10</v>
      </c>
      <c r="AT35" s="33"/>
      <c r="AU35" s="33">
        <v>10</v>
      </c>
      <c r="AV35" s="33">
        <v>10</v>
      </c>
      <c r="AW35" s="33">
        <v>10</v>
      </c>
      <c r="AX35" s="33"/>
      <c r="AY35" s="33"/>
      <c r="AZ35" s="33"/>
      <c r="BA35" s="33">
        <v>10</v>
      </c>
      <c r="BB35" s="33"/>
      <c r="BC35" s="33"/>
    </row>
    <row r="36" spans="1:55" ht="15" customHeight="1">
      <c r="A36" s="11">
        <v>52</v>
      </c>
      <c r="B36" s="21">
        <v>2235</v>
      </c>
      <c r="C36" s="21" t="s">
        <v>33</v>
      </c>
      <c r="D36" s="37" t="s">
        <v>190</v>
      </c>
      <c r="E36" s="34" t="s">
        <v>274</v>
      </c>
      <c r="F36" s="34" t="s">
        <v>285</v>
      </c>
      <c r="G36" s="35" t="s">
        <v>286</v>
      </c>
      <c r="H36" s="40" t="s">
        <v>316</v>
      </c>
      <c r="I36" s="34" t="s">
        <v>319</v>
      </c>
      <c r="J36" s="34" t="s">
        <v>186</v>
      </c>
      <c r="K36" s="34" t="s">
        <v>191</v>
      </c>
      <c r="L36" s="34" t="s">
        <v>116</v>
      </c>
      <c r="M36" s="34" t="s">
        <v>182</v>
      </c>
      <c r="N36" s="34" t="s">
        <v>118</v>
      </c>
      <c r="O36" s="34">
        <v>7871112614</v>
      </c>
      <c r="P36" s="34" t="s">
        <v>192</v>
      </c>
      <c r="Q36" s="34" t="s">
        <v>193</v>
      </c>
      <c r="R36" s="33"/>
      <c r="S36" s="33">
        <v>50</v>
      </c>
      <c r="T36" s="33">
        <v>30</v>
      </c>
      <c r="U36" s="33">
        <v>50</v>
      </c>
      <c r="V36" s="33">
        <v>30</v>
      </c>
      <c r="W36" s="33">
        <v>30</v>
      </c>
      <c r="X36" s="33"/>
      <c r="Y36" s="33">
        <v>20</v>
      </c>
      <c r="Z36" s="33">
        <v>30</v>
      </c>
      <c r="AA36" s="33">
        <v>50</v>
      </c>
      <c r="AB36" s="33">
        <v>50</v>
      </c>
      <c r="AC36" s="33">
        <v>30</v>
      </c>
      <c r="AD36" s="33">
        <v>30</v>
      </c>
      <c r="AE36" s="33">
        <v>20</v>
      </c>
      <c r="AF36" s="33">
        <v>20</v>
      </c>
      <c r="AG36" s="33"/>
      <c r="AH36" s="33"/>
      <c r="AI36" s="33"/>
      <c r="AJ36" s="33"/>
      <c r="AK36" s="33"/>
      <c r="AL36" s="33"/>
      <c r="AM36" s="45">
        <f t="shared" si="6"/>
        <v>440</v>
      </c>
      <c r="AN36" s="33"/>
      <c r="AO36" s="33"/>
      <c r="AP36" s="33"/>
      <c r="AQ36" s="33">
        <v>15</v>
      </c>
      <c r="AR36" s="33">
        <v>10</v>
      </c>
      <c r="AS36" s="33">
        <v>10</v>
      </c>
      <c r="AT36" s="33"/>
      <c r="AU36" s="33">
        <v>10</v>
      </c>
      <c r="AV36" s="33">
        <v>10</v>
      </c>
      <c r="AW36" s="33">
        <v>10</v>
      </c>
      <c r="AX36" s="33"/>
      <c r="AY36" s="33"/>
      <c r="AZ36" s="33"/>
      <c r="BA36" s="33">
        <v>10</v>
      </c>
      <c r="BB36" s="33"/>
      <c r="BC36" s="33"/>
    </row>
    <row r="37" spans="1:55" ht="15" customHeight="1">
      <c r="A37" s="11">
        <v>53</v>
      </c>
      <c r="B37" s="21">
        <v>2040</v>
      </c>
      <c r="C37" s="21" t="s">
        <v>33</v>
      </c>
      <c r="D37" s="37" t="s">
        <v>194</v>
      </c>
      <c r="E37" s="34" t="s">
        <v>274</v>
      </c>
      <c r="F37" s="34" t="s">
        <v>285</v>
      </c>
      <c r="G37" s="35" t="s">
        <v>286</v>
      </c>
      <c r="H37" s="40" t="s">
        <v>317</v>
      </c>
      <c r="I37" s="34" t="s">
        <v>319</v>
      </c>
      <c r="J37" s="34" t="s">
        <v>186</v>
      </c>
      <c r="K37" s="34" t="s">
        <v>195</v>
      </c>
      <c r="L37" s="34" t="s">
        <v>116</v>
      </c>
      <c r="M37" s="34" t="s">
        <v>182</v>
      </c>
      <c r="N37" s="34" t="s">
        <v>118</v>
      </c>
      <c r="O37" s="34">
        <v>9976175700</v>
      </c>
      <c r="P37" s="34" t="s">
        <v>196</v>
      </c>
      <c r="Q37" s="34" t="s">
        <v>197</v>
      </c>
      <c r="R37" s="33"/>
      <c r="S37" s="33">
        <v>50</v>
      </c>
      <c r="T37" s="33">
        <v>30</v>
      </c>
      <c r="U37" s="33">
        <v>50</v>
      </c>
      <c r="V37" s="33">
        <v>30</v>
      </c>
      <c r="W37" s="33">
        <v>50</v>
      </c>
      <c r="X37" s="33"/>
      <c r="Y37" s="33">
        <v>20</v>
      </c>
      <c r="Z37" s="33">
        <v>30</v>
      </c>
      <c r="AA37" s="33">
        <v>50</v>
      </c>
      <c r="AB37" s="33">
        <v>50</v>
      </c>
      <c r="AC37" s="33">
        <v>30</v>
      </c>
      <c r="AD37" s="33">
        <v>30</v>
      </c>
      <c r="AE37" s="33">
        <v>30</v>
      </c>
      <c r="AF37" s="33">
        <v>30</v>
      </c>
      <c r="AG37" s="33"/>
      <c r="AH37" s="33">
        <v>20</v>
      </c>
      <c r="AI37" s="33"/>
      <c r="AJ37" s="33">
        <v>40</v>
      </c>
      <c r="AK37" s="33">
        <v>20</v>
      </c>
      <c r="AL37" s="33">
        <v>30</v>
      </c>
      <c r="AM37" s="45">
        <f t="shared" si="6"/>
        <v>590</v>
      </c>
      <c r="AN37" s="33"/>
      <c r="AO37" s="33"/>
      <c r="AP37" s="33"/>
      <c r="AQ37" s="33">
        <v>15</v>
      </c>
      <c r="AR37" s="33">
        <v>10</v>
      </c>
      <c r="AS37" s="33">
        <v>10</v>
      </c>
      <c r="AT37" s="33"/>
      <c r="AU37" s="33">
        <v>10</v>
      </c>
      <c r="AV37" s="33">
        <v>10</v>
      </c>
      <c r="AW37" s="33">
        <v>10</v>
      </c>
      <c r="AX37" s="33"/>
      <c r="AY37" s="33"/>
      <c r="AZ37" s="33"/>
      <c r="BA37" s="33">
        <v>10</v>
      </c>
      <c r="BB37" s="33"/>
      <c r="BC37" s="33"/>
    </row>
    <row r="38" spans="1:55" ht="15" customHeight="1">
      <c r="A38" s="11">
        <v>54</v>
      </c>
      <c r="B38" s="13">
        <v>2024</v>
      </c>
      <c r="C38" s="13" t="s">
        <v>33</v>
      </c>
      <c r="D38" s="37" t="s">
        <v>198</v>
      </c>
      <c r="E38" s="34" t="s">
        <v>274</v>
      </c>
      <c r="F38" s="34" t="s">
        <v>285</v>
      </c>
      <c r="G38" s="35" t="s">
        <v>286</v>
      </c>
      <c r="H38" s="40" t="s">
        <v>318</v>
      </c>
      <c r="I38" s="34" t="s">
        <v>319</v>
      </c>
      <c r="J38" s="34" t="s">
        <v>183</v>
      </c>
      <c r="K38" s="34" t="s">
        <v>184</v>
      </c>
      <c r="L38" s="34" t="s">
        <v>116</v>
      </c>
      <c r="M38" s="34" t="s">
        <v>182</v>
      </c>
      <c r="N38" s="34" t="s">
        <v>118</v>
      </c>
      <c r="O38" s="34">
        <v>9746235741</v>
      </c>
      <c r="P38" s="34" t="s">
        <v>199</v>
      </c>
      <c r="Q38" s="34" t="s">
        <v>200</v>
      </c>
      <c r="R38" s="33"/>
      <c r="S38" s="33">
        <v>50</v>
      </c>
      <c r="T38" s="33">
        <v>30</v>
      </c>
      <c r="U38" s="33">
        <v>50</v>
      </c>
      <c r="V38" s="33">
        <v>30</v>
      </c>
      <c r="W38" s="33">
        <v>50</v>
      </c>
      <c r="X38" s="33"/>
      <c r="Y38" s="33">
        <v>20</v>
      </c>
      <c r="Z38" s="33"/>
      <c r="AA38" s="33">
        <v>50</v>
      </c>
      <c r="AB38" s="33">
        <v>50</v>
      </c>
      <c r="AC38" s="33"/>
      <c r="AD38" s="33"/>
      <c r="AE38" s="33">
        <v>20</v>
      </c>
      <c r="AF38" s="33">
        <v>40</v>
      </c>
      <c r="AG38" s="33"/>
      <c r="AH38" s="33">
        <v>20</v>
      </c>
      <c r="AI38" s="33"/>
      <c r="AJ38" s="33">
        <v>40</v>
      </c>
      <c r="AK38" s="33">
        <v>20</v>
      </c>
      <c r="AL38" s="33">
        <v>20</v>
      </c>
      <c r="AM38" s="45">
        <f>SUM(R38:AL38)</f>
        <v>490</v>
      </c>
      <c r="AN38" s="33"/>
      <c r="AO38" s="33"/>
      <c r="AP38" s="33"/>
      <c r="AQ38" s="33">
        <v>15</v>
      </c>
      <c r="AR38" s="33">
        <v>10</v>
      </c>
      <c r="AS38" s="33">
        <v>10</v>
      </c>
      <c r="AT38" s="33"/>
      <c r="AU38" s="33">
        <v>10</v>
      </c>
      <c r="AV38" s="33">
        <v>10</v>
      </c>
      <c r="AW38" s="33">
        <v>10</v>
      </c>
      <c r="AX38" s="33">
        <v>20</v>
      </c>
      <c r="AY38" s="33">
        <v>10</v>
      </c>
      <c r="AZ38" s="33"/>
      <c r="BA38" s="33">
        <v>10</v>
      </c>
      <c r="BB38" s="33"/>
      <c r="BC38" s="33"/>
    </row>
  </sheetData>
  <conditionalFormatting sqref="B3:B6">
    <cfRule type="cellIs" dxfId="34" priority="60" operator="equal">
      <formula>"vacant"</formula>
    </cfRule>
    <cfRule type="cellIs" dxfId="33" priority="61" operator="equal">
      <formula>"new"</formula>
    </cfRule>
    <cfRule type="cellIs" dxfId="32" priority="62" operator="equal">
      <formula>"Vacant"</formula>
    </cfRule>
    <cfRule type="duplicateValues" dxfId="31" priority="69"/>
  </conditionalFormatting>
  <conditionalFormatting sqref="B20:C20 D17:D21">
    <cfRule type="cellIs" dxfId="30" priority="10" operator="equal">
      <formula>"new"</formula>
    </cfRule>
    <cfRule type="cellIs" dxfId="29" priority="11" operator="equal">
      <formula>"vacant"</formula>
    </cfRule>
  </conditionalFormatting>
  <conditionalFormatting sqref="B12:C12 B14:C18 B35:D38 B7:D9 D13:D29 B20:C21 B23:C34 D4:D6">
    <cfRule type="cellIs" dxfId="28" priority="32" operator="equal">
      <formula>"Vacant"</formula>
    </cfRule>
  </conditionalFormatting>
  <conditionalFormatting sqref="B14:C15">
    <cfRule type="cellIs" dxfId="27" priority="28" operator="equal">
      <formula>"new"</formula>
    </cfRule>
    <cfRule type="cellIs" dxfId="26" priority="29" operator="equal">
      <formula>"vacant"</formula>
    </cfRule>
  </conditionalFormatting>
  <conditionalFormatting sqref="B12:C12">
    <cfRule type="cellIs" dxfId="25" priority="38" operator="equal">
      <formula>"new"</formula>
    </cfRule>
    <cfRule type="cellIs" dxfId="24" priority="39" operator="equal">
      <formula>"vacant"</formula>
    </cfRule>
  </conditionalFormatting>
  <conditionalFormatting sqref="B18:C18">
    <cfRule type="cellIs" dxfId="23" priority="36" operator="equal">
      <formula>"new"</formula>
    </cfRule>
    <cfRule type="cellIs" dxfId="22" priority="37" operator="equal">
      <formula>"vacant"</formula>
    </cfRule>
  </conditionalFormatting>
  <conditionalFormatting sqref="D23:D30 B23:C33 B34:D38 D4:D6">
    <cfRule type="cellIs" dxfId="21" priority="27" operator="equal">
      <formula>"new"</formula>
    </cfRule>
  </conditionalFormatting>
  <conditionalFormatting sqref="D23:D29 B35:D38 B23:C34 D4:D6">
    <cfRule type="cellIs" dxfId="20" priority="26" operator="equal">
      <formula>"vacant"</formula>
    </cfRule>
  </conditionalFormatting>
  <conditionalFormatting sqref="D11">
    <cfRule type="cellIs" dxfId="19" priority="23" operator="equal">
      <formula>"Vacant"</formula>
    </cfRule>
  </conditionalFormatting>
  <conditionalFormatting sqref="D12:D14">
    <cfRule type="cellIs" dxfId="18" priority="22" operator="equal">
      <formula>"new"</formula>
    </cfRule>
  </conditionalFormatting>
  <conditionalFormatting sqref="D12:D15">
    <cfRule type="cellIs" dxfId="17" priority="21" operator="equal">
      <formula>"vacant"</formula>
    </cfRule>
  </conditionalFormatting>
  <conditionalFormatting sqref="D31 D33">
    <cfRule type="cellIs" dxfId="16" priority="40" operator="equal">
      <formula>"Vacant"</formula>
    </cfRule>
  </conditionalFormatting>
  <conditionalFormatting sqref="D32">
    <cfRule type="cellIs" dxfId="15" priority="1" operator="equal">
      <formula>"new"</formula>
    </cfRule>
  </conditionalFormatting>
  <conditionalFormatting sqref="D15">
    <cfRule type="cellIs" dxfId="14" priority="25" operator="equal">
      <formula>"new"</formula>
    </cfRule>
  </conditionalFormatting>
  <conditionalFormatting sqref="K31:K32">
    <cfRule type="cellIs" dxfId="13" priority="2" operator="equal">
      <formula>"Vacant"</formula>
    </cfRule>
  </conditionalFormatting>
  <conditionalFormatting sqref="O3:O6">
    <cfRule type="duplicateValues" dxfId="12" priority="74"/>
  </conditionalFormatting>
  <conditionalFormatting sqref="P3:P6">
    <cfRule type="duplicateValues" dxfId="11" priority="65"/>
    <cfRule type="duplicateValues" dxfId="10" priority="66"/>
    <cfRule type="duplicateValues" dxfId="9" priority="67"/>
    <cfRule type="duplicateValues" dxfId="8" priority="68"/>
    <cfRule type="duplicateValues" dxfId="7" priority="75"/>
  </conditionalFormatting>
  <conditionalFormatting sqref="Q3:Q6">
    <cfRule type="duplicateValues" dxfId="6" priority="70"/>
    <cfRule type="duplicateValues" dxfId="5" priority="71"/>
    <cfRule type="duplicateValues" dxfId="4" priority="72"/>
    <cfRule type="duplicateValues" dxfId="3" priority="73"/>
  </conditionalFormatting>
  <conditionalFormatting sqref="Q31">
    <cfRule type="cellIs" dxfId="2" priority="30" operator="equal">
      <formula>"Vacant"</formula>
    </cfRule>
  </conditionalFormatting>
  <conditionalFormatting sqref="O24:O38 O7:O22">
    <cfRule type="duplicateValues" dxfId="1" priority="192"/>
  </conditionalFormatting>
  <conditionalFormatting sqref="P7:P38">
    <cfRule type="duplicateValues" dxfId="0" priority="195"/>
  </conditionalFormatting>
  <hyperlinks>
    <hyperlink ref="Q9" r:id="rId1" xr:uid="{087D9A78-1DD7-451C-ABCA-AED095D9AEFC}"/>
    <hyperlink ref="Q23" r:id="rId2" display="mailto:Sumit.singh@signutra.com" xr:uid="{AA44358C-6F55-4530-94D0-D2BC7DBBCFA3}"/>
    <hyperlink ref="Q19" r:id="rId3" xr:uid="{00BD8ED6-CFF1-4533-85C8-883BEE386258}"/>
    <hyperlink ref="Q34" r:id="rId4" display="mailto:urrakula.poli@signutra.com" xr:uid="{67D2199D-6C46-48C5-9797-850CF8A07316}"/>
    <hyperlink ref="Q31" r:id="rId5" xr:uid="{44445ACE-9040-423E-870F-B028A47A6C96}"/>
    <hyperlink ref="Q28" r:id="rId6" display="mailto:Mayank.kesharwani@signutra.com" xr:uid="{00B1E1FE-17D2-4C67-8E35-9F58CCF064CF}"/>
    <hyperlink ref="Q24" r:id="rId7" xr:uid="{095053D3-40FA-4977-9D96-DA28A9C8148A}"/>
    <hyperlink ref="Q10" r:id="rId8" display="mailto:Niranjan.sahoo@signutra.com" xr:uid="{8EFBE15E-4169-497D-BD87-614CE0368B60}"/>
    <hyperlink ref="Q27" r:id="rId9" display="mailto:Abhishek.singh@signutra.com" xr:uid="{4BEBADE0-0BD8-404D-A567-24F61B4CD6D7}"/>
    <hyperlink ref="Q16" r:id="rId10" display="mailto:sarita.rai@signutra.com" xr:uid="{FA185114-F9AD-4AD3-B8D6-C838646B299F}"/>
    <hyperlink ref="Q18" r:id="rId11" display="mailto:sher.mohammad@signutra.com" xr:uid="{E21471AF-723D-4FA2-AD73-76D3F1557343}"/>
    <hyperlink ref="Q8" r:id="rId12" display="mailto:chandan.kumar@signutra.com" xr:uid="{3F7B97B7-936F-4E8F-95AC-D26CC1F08372}"/>
    <hyperlink ref="Q25" r:id="rId13" xr:uid="{AB8C53BA-D6B2-4B0C-9904-D309CA34BD33}"/>
    <hyperlink ref="Q12" r:id="rId14" xr:uid="{A4306529-3768-4458-B244-3B579BC2EA63}"/>
    <hyperlink ref="Q14" r:id="rId15" xr:uid="{F00952EB-0F5F-4CF8-AAD6-B0AD3C4F84B6}"/>
    <hyperlink ref="Q32" r:id="rId16" xr:uid="{FBED17B1-13B7-46B5-8CB5-8F2DE448C7DE}"/>
    <hyperlink ref="Q36" r:id="rId17" xr:uid="{9E4C5CCB-FDDD-490F-9230-44B18F7DF9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43E7-B1D5-4699-BEFA-437E32EE2019}">
  <dimension ref="A1:D38"/>
  <sheetViews>
    <sheetView workbookViewId="0">
      <selection activeCell="D39" sqref="D39"/>
    </sheetView>
  </sheetViews>
  <sheetFormatPr defaultRowHeight="15"/>
  <cols>
    <col min="4" max="4" width="12.85546875" customWidth="1"/>
  </cols>
  <sheetData>
    <row r="1" spans="1:4" ht="33.75">
      <c r="A1" s="16"/>
      <c r="B1" s="16"/>
      <c r="C1" s="3" t="s">
        <v>11</v>
      </c>
      <c r="D1" t="s">
        <v>265</v>
      </c>
    </row>
    <row r="2" spans="1:4" ht="22.5">
      <c r="A2" s="16"/>
      <c r="B2" s="16"/>
      <c r="C2" s="3" t="s">
        <v>12</v>
      </c>
      <c r="D2" t="s">
        <v>265</v>
      </c>
    </row>
    <row r="3" spans="1:4" ht="22.5">
      <c r="A3" s="16"/>
      <c r="B3" s="16"/>
      <c r="C3" s="3" t="s">
        <v>13</v>
      </c>
      <c r="D3" t="s">
        <v>265</v>
      </c>
    </row>
    <row r="4" spans="1:4" ht="33.75">
      <c r="A4" s="16"/>
      <c r="B4" s="16"/>
      <c r="C4" s="3" t="s">
        <v>14</v>
      </c>
      <c r="D4" t="s">
        <v>265</v>
      </c>
    </row>
    <row r="5" spans="1:4" ht="22.5">
      <c r="A5" s="16"/>
      <c r="B5" s="16"/>
      <c r="C5" s="3" t="s">
        <v>15</v>
      </c>
      <c r="D5" t="s">
        <v>265</v>
      </c>
    </row>
    <row r="6" spans="1:4" ht="22.5">
      <c r="A6" s="16"/>
      <c r="B6" s="16"/>
      <c r="C6" s="3" t="s">
        <v>16</v>
      </c>
      <c r="D6" t="s">
        <v>265</v>
      </c>
    </row>
    <row r="7" spans="1:4" ht="22.5">
      <c r="A7" s="16"/>
      <c r="B7" s="16"/>
      <c r="C7" s="3" t="s">
        <v>17</v>
      </c>
    </row>
    <row r="8" spans="1:4" ht="33.75">
      <c r="A8" s="16"/>
      <c r="B8" s="16"/>
      <c r="C8" s="3" t="s">
        <v>18</v>
      </c>
      <c r="D8" t="s">
        <v>265</v>
      </c>
    </row>
    <row r="9" spans="1:4" ht="33.75">
      <c r="A9" s="16"/>
      <c r="B9" s="16"/>
      <c r="C9" s="3" t="s">
        <v>19</v>
      </c>
      <c r="D9" t="s">
        <v>265</v>
      </c>
    </row>
    <row r="10" spans="1:4" ht="22.5">
      <c r="A10" s="16"/>
      <c r="B10" s="16"/>
      <c r="C10" s="3" t="s">
        <v>20</v>
      </c>
      <c r="D10" t="s">
        <v>265</v>
      </c>
    </row>
    <row r="11" spans="1:4" ht="22.5">
      <c r="A11" s="16"/>
      <c r="B11" s="16"/>
      <c r="C11" s="3" t="s">
        <v>21</v>
      </c>
      <c r="D11" t="s">
        <v>265</v>
      </c>
    </row>
    <row r="12" spans="1:4" ht="33.75">
      <c r="A12" s="16"/>
      <c r="B12" s="16"/>
      <c r="C12" s="3" t="s">
        <v>22</v>
      </c>
      <c r="D12" t="s">
        <v>265</v>
      </c>
    </row>
    <row r="13" spans="1:4" ht="27">
      <c r="A13" s="16"/>
      <c r="B13" s="16"/>
      <c r="C13" s="4" t="s">
        <v>23</v>
      </c>
      <c r="D13" t="s">
        <v>265</v>
      </c>
    </row>
    <row r="14" spans="1:4" ht="27">
      <c r="A14" s="16"/>
      <c r="B14" s="16"/>
      <c r="C14" s="5" t="s">
        <v>24</v>
      </c>
      <c r="D14" t="s">
        <v>265</v>
      </c>
    </row>
    <row r="15" spans="1:4" ht="40.5">
      <c r="A15" s="16"/>
      <c r="B15" s="16"/>
      <c r="C15" s="4" t="s">
        <v>25</v>
      </c>
      <c r="D15" t="s">
        <v>265</v>
      </c>
    </row>
    <row r="16" spans="1:4" ht="27">
      <c r="A16" s="16"/>
      <c r="B16" s="16"/>
      <c r="C16" s="4" t="s">
        <v>26</v>
      </c>
      <c r="D16" t="s">
        <v>265</v>
      </c>
    </row>
    <row r="17" spans="1:4">
      <c r="A17" s="16"/>
      <c r="B17" s="16"/>
      <c r="C17" s="6" t="s">
        <v>27</v>
      </c>
      <c r="D17" t="s">
        <v>265</v>
      </c>
    </row>
    <row r="18" spans="1:4" ht="27">
      <c r="A18" s="16"/>
      <c r="B18" s="16"/>
      <c r="C18" s="6" t="s">
        <v>28</v>
      </c>
      <c r="D18" t="s">
        <v>265</v>
      </c>
    </row>
    <row r="19" spans="1:4" ht="54">
      <c r="A19" s="16"/>
      <c r="B19" s="16"/>
      <c r="C19" s="7" t="s">
        <v>29</v>
      </c>
      <c r="D19" t="s">
        <v>265</v>
      </c>
    </row>
    <row r="20" spans="1:4" ht="54">
      <c r="A20" s="16"/>
      <c r="B20" s="16"/>
      <c r="C20" s="7" t="s">
        <v>30</v>
      </c>
      <c r="D20" t="s">
        <v>265</v>
      </c>
    </row>
    <row r="21" spans="1:4" ht="30">
      <c r="A21" s="16"/>
      <c r="B21" s="16"/>
      <c r="C21" s="8" t="s">
        <v>31</v>
      </c>
      <c r="D21" t="s">
        <v>265</v>
      </c>
    </row>
    <row r="22" spans="1:4" ht="22.5">
      <c r="A22" s="16"/>
      <c r="B22" s="16"/>
      <c r="C22" s="9" t="s">
        <v>32</v>
      </c>
    </row>
    <row r="23" spans="1:4" ht="54">
      <c r="A23" s="24">
        <v>200</v>
      </c>
      <c r="B23" s="18" t="s">
        <v>201</v>
      </c>
      <c r="C23" s="19" t="s">
        <v>202</v>
      </c>
      <c r="D23" t="s">
        <v>265</v>
      </c>
    </row>
    <row r="24" spans="1:4" ht="63">
      <c r="A24" s="25">
        <v>164</v>
      </c>
      <c r="B24" s="18" t="s">
        <v>203</v>
      </c>
      <c r="C24" s="19" t="s">
        <v>204</v>
      </c>
      <c r="D24" t="s">
        <v>265</v>
      </c>
    </row>
    <row r="25" spans="1:4" ht="63">
      <c r="A25" s="25">
        <v>879</v>
      </c>
      <c r="B25" s="18" t="s">
        <v>205</v>
      </c>
      <c r="C25" s="19" t="s">
        <v>206</v>
      </c>
      <c r="D25" t="s">
        <v>265</v>
      </c>
    </row>
    <row r="26" spans="1:4" ht="45">
      <c r="A26" s="17">
        <v>1000</v>
      </c>
      <c r="B26" s="26" t="s">
        <v>218</v>
      </c>
      <c r="C26" s="27" t="s">
        <v>231</v>
      </c>
      <c r="D26" t="s">
        <v>265</v>
      </c>
    </row>
    <row r="27" spans="1:4" ht="78.75">
      <c r="A27" s="17">
        <v>2000</v>
      </c>
      <c r="B27" s="26" t="s">
        <v>219</v>
      </c>
      <c r="C27" s="27" t="s">
        <v>232</v>
      </c>
      <c r="D27">
        <v>10</v>
      </c>
    </row>
    <row r="28" spans="1:4" ht="78.75">
      <c r="A28" s="17">
        <v>1490</v>
      </c>
      <c r="B28" s="26" t="s">
        <v>220</v>
      </c>
      <c r="C28" s="27" t="s">
        <v>233</v>
      </c>
      <c r="D28">
        <v>10</v>
      </c>
    </row>
    <row r="29" spans="1:4" ht="90">
      <c r="A29" s="17">
        <v>240</v>
      </c>
      <c r="B29" s="26" t="s">
        <v>221</v>
      </c>
      <c r="C29" s="27" t="s">
        <v>234</v>
      </c>
      <c r="D29" t="s">
        <v>265</v>
      </c>
    </row>
    <row r="30" spans="1:4" ht="78.75">
      <c r="A30" s="17">
        <v>2000</v>
      </c>
      <c r="B30" s="26" t="s">
        <v>222</v>
      </c>
      <c r="C30" s="27" t="s">
        <v>235</v>
      </c>
      <c r="D30" t="s">
        <v>265</v>
      </c>
    </row>
    <row r="31" spans="1:4" ht="78.75">
      <c r="A31" s="17">
        <v>1710</v>
      </c>
      <c r="B31" s="26" t="s">
        <v>223</v>
      </c>
      <c r="C31" s="27" t="s">
        <v>236</v>
      </c>
      <c r="D31">
        <v>10</v>
      </c>
    </row>
    <row r="32" spans="1:4" ht="67.5">
      <c r="A32" s="17">
        <v>2840</v>
      </c>
      <c r="B32" s="28" t="s">
        <v>224</v>
      </c>
      <c r="C32" s="29" t="s">
        <v>237</v>
      </c>
      <c r="D32">
        <v>10</v>
      </c>
    </row>
    <row r="33" spans="1:4" ht="90">
      <c r="A33" s="17">
        <v>1340</v>
      </c>
      <c r="B33" s="28" t="s">
        <v>225</v>
      </c>
      <c r="C33" s="29" t="s">
        <v>238</v>
      </c>
      <c r="D33" t="s">
        <v>265</v>
      </c>
    </row>
    <row r="34" spans="1:4" ht="101.25">
      <c r="A34" s="17">
        <v>194</v>
      </c>
      <c r="B34" s="28" t="s">
        <v>226</v>
      </c>
      <c r="C34" s="29" t="s">
        <v>239</v>
      </c>
      <c r="D34" t="s">
        <v>265</v>
      </c>
    </row>
    <row r="35" spans="1:4" ht="56.25">
      <c r="A35" s="25">
        <v>7</v>
      </c>
      <c r="B35" s="28" t="s">
        <v>227</v>
      </c>
      <c r="C35" s="29" t="s">
        <v>240</v>
      </c>
      <c r="D35" t="s">
        <v>265</v>
      </c>
    </row>
    <row r="36" spans="1:4" ht="78.75">
      <c r="A36" s="17">
        <v>781</v>
      </c>
      <c r="B36" s="28" t="s">
        <v>228</v>
      </c>
      <c r="C36" s="29" t="s">
        <v>241</v>
      </c>
      <c r="D36">
        <v>10</v>
      </c>
    </row>
    <row r="37" spans="1:4" ht="56.25">
      <c r="A37" s="17">
        <v>103</v>
      </c>
      <c r="B37" s="28" t="s">
        <v>229</v>
      </c>
      <c r="C37" s="29" t="s">
        <v>242</v>
      </c>
      <c r="D37" t="s">
        <v>265</v>
      </c>
    </row>
    <row r="38" spans="1:4" ht="78.75">
      <c r="A38" s="17">
        <v>97</v>
      </c>
      <c r="B38" s="26" t="s">
        <v>230</v>
      </c>
      <c r="C38" s="27" t="s">
        <v>243</v>
      </c>
      <c r="D38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ED9B-8165-44F0-BA23-FB9053767E7D}">
  <dimension ref="D1:J35"/>
  <sheetViews>
    <sheetView topLeftCell="A19" workbookViewId="0">
      <selection activeCell="L4" sqref="L4"/>
    </sheetView>
  </sheetViews>
  <sheetFormatPr defaultRowHeight="15"/>
  <cols>
    <col min="4" max="4" width="26.7109375" customWidth="1"/>
    <col min="5" max="5" width="21.28515625" customWidth="1"/>
    <col min="6" max="6" width="21.5703125" customWidth="1"/>
    <col min="7" max="7" width="20.42578125" customWidth="1"/>
  </cols>
  <sheetData>
    <row r="1" spans="4:10" ht="63">
      <c r="D1" s="30" t="s">
        <v>207</v>
      </c>
      <c r="E1" s="30" t="s">
        <v>208</v>
      </c>
      <c r="F1" s="30" t="s">
        <v>4</v>
      </c>
      <c r="G1" s="19" t="s">
        <v>202</v>
      </c>
      <c r="H1" s="19" t="s">
        <v>204</v>
      </c>
      <c r="I1" s="19" t="s">
        <v>206</v>
      </c>
      <c r="J1" s="27" t="s">
        <v>231</v>
      </c>
    </row>
    <row r="2" spans="4:10" ht="15.75">
      <c r="D2" s="31" t="s">
        <v>209</v>
      </c>
      <c r="E2" s="31" t="s">
        <v>210</v>
      </c>
      <c r="F2" s="31" t="s">
        <v>38</v>
      </c>
      <c r="G2" s="31">
        <v>10</v>
      </c>
      <c r="H2" s="31">
        <v>10</v>
      </c>
      <c r="I2" s="31">
        <v>10</v>
      </c>
      <c r="J2" s="16"/>
    </row>
    <row r="3" spans="4:10" ht="15.75">
      <c r="D3" s="31" t="s">
        <v>39</v>
      </c>
      <c r="E3" s="31" t="s">
        <v>210</v>
      </c>
      <c r="F3" s="31" t="s">
        <v>38</v>
      </c>
      <c r="G3" s="31">
        <v>8</v>
      </c>
      <c r="H3" s="31">
        <v>8</v>
      </c>
      <c r="I3" s="31">
        <v>8</v>
      </c>
      <c r="J3" s="16"/>
    </row>
    <row r="4" spans="4:10" ht="15.75">
      <c r="D4" s="31" t="s">
        <v>40</v>
      </c>
      <c r="E4" s="31" t="s">
        <v>210</v>
      </c>
      <c r="F4" s="31" t="s">
        <v>38</v>
      </c>
      <c r="G4" s="31">
        <v>7</v>
      </c>
      <c r="H4" s="31">
        <v>7</v>
      </c>
      <c r="I4" s="31">
        <v>7</v>
      </c>
      <c r="J4" s="16"/>
    </row>
    <row r="5" spans="4:10" ht="15.75">
      <c r="D5" s="31" t="s">
        <v>41</v>
      </c>
      <c r="E5" s="31" t="s">
        <v>210</v>
      </c>
      <c r="F5" s="31" t="s">
        <v>211</v>
      </c>
      <c r="G5" s="31">
        <v>10</v>
      </c>
      <c r="H5" s="31">
        <v>10</v>
      </c>
      <c r="I5" s="31">
        <v>10</v>
      </c>
      <c r="J5" s="16"/>
    </row>
    <row r="6" spans="4:10" ht="15.75">
      <c r="D6" s="31" t="s">
        <v>42</v>
      </c>
      <c r="E6" s="31" t="s">
        <v>210</v>
      </c>
      <c r="F6" s="31" t="s">
        <v>212</v>
      </c>
      <c r="G6" s="31">
        <v>5</v>
      </c>
      <c r="H6" s="31">
        <v>5</v>
      </c>
      <c r="I6" s="31">
        <v>5</v>
      </c>
      <c r="J6" s="16"/>
    </row>
    <row r="7" spans="4:10" ht="15.75">
      <c r="D7" s="31" t="s">
        <v>213</v>
      </c>
      <c r="E7" s="31" t="s">
        <v>210</v>
      </c>
      <c r="F7" s="31" t="s">
        <v>45</v>
      </c>
      <c r="G7" s="31">
        <v>8</v>
      </c>
      <c r="H7" s="31">
        <v>8</v>
      </c>
      <c r="I7" s="31">
        <v>8</v>
      </c>
      <c r="J7" s="16"/>
    </row>
    <row r="8" spans="4:10" ht="15.75">
      <c r="D8" s="31" t="s">
        <v>214</v>
      </c>
      <c r="E8" s="31" t="s">
        <v>210</v>
      </c>
      <c r="F8" s="31" t="s">
        <v>45</v>
      </c>
      <c r="G8" s="31">
        <v>7</v>
      </c>
      <c r="H8" s="31">
        <v>7</v>
      </c>
      <c r="I8" s="31">
        <v>7</v>
      </c>
      <c r="J8" s="16"/>
    </row>
    <row r="9" spans="4:10" ht="15.75">
      <c r="D9" s="31" t="s">
        <v>54</v>
      </c>
      <c r="E9" s="31" t="s">
        <v>210</v>
      </c>
      <c r="F9" s="31" t="s">
        <v>45</v>
      </c>
      <c r="G9" s="31">
        <v>5</v>
      </c>
      <c r="H9" s="31">
        <v>5</v>
      </c>
      <c r="I9" s="31">
        <v>5</v>
      </c>
      <c r="J9" s="16"/>
    </row>
    <row r="10" spans="4:10" ht="15.75">
      <c r="D10" s="31" t="s">
        <v>215</v>
      </c>
      <c r="E10" s="31" t="s">
        <v>210</v>
      </c>
      <c r="F10" s="31" t="s">
        <v>216</v>
      </c>
      <c r="G10" s="31">
        <v>8</v>
      </c>
      <c r="H10" s="31">
        <v>8</v>
      </c>
      <c r="I10" s="31">
        <v>8</v>
      </c>
      <c r="J10" s="16"/>
    </row>
    <row r="11" spans="4:10" ht="15.75">
      <c r="D11" s="31" t="s">
        <v>217</v>
      </c>
      <c r="E11" s="31" t="s">
        <v>210</v>
      </c>
      <c r="F11" s="31" t="s">
        <v>65</v>
      </c>
      <c r="G11" s="31">
        <v>7</v>
      </c>
      <c r="H11" s="31">
        <v>7</v>
      </c>
      <c r="I11" s="31">
        <v>7</v>
      </c>
      <c r="J11" s="16"/>
    </row>
    <row r="12" spans="4:10" ht="15.75">
      <c r="D12" s="12" t="s">
        <v>244</v>
      </c>
      <c r="E12" s="31" t="s">
        <v>210</v>
      </c>
      <c r="F12" s="12"/>
      <c r="G12" s="12">
        <v>4</v>
      </c>
      <c r="H12" s="12">
        <v>4</v>
      </c>
      <c r="I12" s="12">
        <v>4</v>
      </c>
      <c r="J12" s="16"/>
    </row>
    <row r="13" spans="4:10" ht="15.75">
      <c r="D13" s="12" t="s">
        <v>109</v>
      </c>
      <c r="E13" s="31" t="s">
        <v>210</v>
      </c>
      <c r="F13" s="12"/>
      <c r="G13" s="12">
        <v>1</v>
      </c>
      <c r="H13" s="12">
        <v>1</v>
      </c>
      <c r="I13" s="12">
        <v>1</v>
      </c>
      <c r="J13" s="16"/>
    </row>
    <row r="14" spans="4:10" ht="15.75">
      <c r="D14" s="12" t="s">
        <v>110</v>
      </c>
      <c r="E14" s="31" t="s">
        <v>210</v>
      </c>
      <c r="F14" s="12"/>
      <c r="G14" s="12">
        <v>4</v>
      </c>
      <c r="H14" s="12">
        <v>4</v>
      </c>
      <c r="I14" s="12">
        <v>4</v>
      </c>
      <c r="J14" s="16"/>
    </row>
    <row r="15" spans="4:10" ht="15.75">
      <c r="D15" s="12" t="s">
        <v>245</v>
      </c>
      <c r="E15" s="31" t="s">
        <v>210</v>
      </c>
      <c r="F15" s="12"/>
      <c r="G15" s="12">
        <v>5</v>
      </c>
      <c r="H15" s="12">
        <v>5</v>
      </c>
      <c r="I15" s="12">
        <v>5</v>
      </c>
      <c r="J15" s="16"/>
    </row>
    <row r="16" spans="4:10" ht="15.75">
      <c r="D16" s="12" t="s">
        <v>246</v>
      </c>
      <c r="E16" s="31" t="s">
        <v>210</v>
      </c>
      <c r="F16" s="12"/>
      <c r="G16" s="12">
        <v>8</v>
      </c>
      <c r="H16" s="12">
        <v>8</v>
      </c>
      <c r="I16" s="12">
        <v>8</v>
      </c>
      <c r="J16" s="16"/>
    </row>
    <row r="17" spans="4:10" ht="15.75">
      <c r="D17" s="12" t="s">
        <v>247</v>
      </c>
      <c r="E17" s="31" t="s">
        <v>210</v>
      </c>
      <c r="F17" s="12"/>
      <c r="G17" s="12">
        <v>5</v>
      </c>
      <c r="H17" s="12">
        <v>5</v>
      </c>
      <c r="I17" s="12">
        <v>5</v>
      </c>
      <c r="J17" s="16"/>
    </row>
    <row r="18" spans="4:10" ht="15.75">
      <c r="D18" s="12" t="s">
        <v>248</v>
      </c>
      <c r="E18" s="31" t="s">
        <v>210</v>
      </c>
      <c r="F18" s="12"/>
      <c r="G18" s="12">
        <v>6</v>
      </c>
      <c r="H18" s="12">
        <v>6</v>
      </c>
      <c r="I18" s="12">
        <v>6</v>
      </c>
      <c r="J18" s="16"/>
    </row>
    <row r="19" spans="4:10" ht="15.75">
      <c r="D19" s="12" t="s">
        <v>249</v>
      </c>
      <c r="E19" s="31" t="s">
        <v>210</v>
      </c>
      <c r="F19" s="12"/>
      <c r="G19" s="12">
        <v>6</v>
      </c>
      <c r="H19" s="12">
        <v>6</v>
      </c>
      <c r="I19" s="12">
        <v>6</v>
      </c>
      <c r="J19" s="16"/>
    </row>
    <row r="20" spans="4:10" ht="15.75">
      <c r="D20" s="12" t="s">
        <v>250</v>
      </c>
      <c r="E20" s="31" t="s">
        <v>210</v>
      </c>
      <c r="F20" s="12"/>
      <c r="G20" s="12">
        <v>2</v>
      </c>
      <c r="H20" s="12">
        <v>2</v>
      </c>
      <c r="I20" s="12">
        <v>2</v>
      </c>
      <c r="J20" s="16"/>
    </row>
    <row r="21" spans="4:10" ht="15.75">
      <c r="D21" s="12" t="s">
        <v>251</v>
      </c>
      <c r="E21" s="31" t="s">
        <v>210</v>
      </c>
      <c r="F21" s="12"/>
      <c r="G21" s="12">
        <v>4</v>
      </c>
      <c r="H21" s="12">
        <v>4</v>
      </c>
      <c r="I21" s="12">
        <v>4</v>
      </c>
      <c r="J21" s="16"/>
    </row>
    <row r="22" spans="4:10" ht="15.75">
      <c r="D22" s="12" t="s">
        <v>252</v>
      </c>
      <c r="E22" s="31" t="s">
        <v>210</v>
      </c>
      <c r="F22" s="12"/>
      <c r="G22" s="12">
        <v>3</v>
      </c>
      <c r="H22" s="12">
        <v>3</v>
      </c>
      <c r="I22" s="12">
        <v>3</v>
      </c>
      <c r="J22" s="16"/>
    </row>
    <row r="23" spans="4:10" ht="15.75">
      <c r="D23" s="12" t="s">
        <v>245</v>
      </c>
      <c r="E23" s="31" t="s">
        <v>210</v>
      </c>
      <c r="F23" s="12"/>
      <c r="G23" s="12">
        <v>2</v>
      </c>
      <c r="H23" s="12">
        <v>2</v>
      </c>
      <c r="I23" s="12">
        <v>2</v>
      </c>
      <c r="J23" s="16"/>
    </row>
    <row r="24" spans="4:10" ht="15.75">
      <c r="D24" s="12" t="s">
        <v>253</v>
      </c>
      <c r="E24" s="31" t="s">
        <v>210</v>
      </c>
      <c r="F24" s="16"/>
      <c r="G24" s="12">
        <v>2</v>
      </c>
      <c r="H24" s="12">
        <v>2</v>
      </c>
      <c r="I24" s="12">
        <v>2</v>
      </c>
      <c r="J24" s="16"/>
    </row>
    <row r="25" spans="4:10" ht="15.75">
      <c r="D25" s="12" t="s">
        <v>254</v>
      </c>
      <c r="E25" s="31" t="s">
        <v>210</v>
      </c>
      <c r="F25" s="16"/>
      <c r="G25" s="12">
        <v>5</v>
      </c>
      <c r="H25" s="12">
        <v>5</v>
      </c>
      <c r="I25" s="12">
        <v>5</v>
      </c>
      <c r="J25" s="16"/>
    </row>
    <row r="26" spans="4:10" ht="15.75">
      <c r="D26" s="12" t="s">
        <v>255</v>
      </c>
      <c r="E26" s="31" t="s">
        <v>210</v>
      </c>
      <c r="F26" s="16"/>
      <c r="G26" s="12">
        <v>4</v>
      </c>
      <c r="H26" s="12">
        <v>4</v>
      </c>
      <c r="I26" s="12">
        <v>2</v>
      </c>
      <c r="J26" s="12">
        <v>2</v>
      </c>
    </row>
    <row r="27" spans="4:10" ht="15.75">
      <c r="D27" s="12" t="s">
        <v>256</v>
      </c>
      <c r="E27" s="31" t="s">
        <v>210</v>
      </c>
      <c r="F27" s="16"/>
      <c r="G27" s="12">
        <v>4</v>
      </c>
      <c r="H27" s="12">
        <v>4</v>
      </c>
      <c r="I27" s="12">
        <v>4</v>
      </c>
      <c r="J27" s="16"/>
    </row>
    <row r="28" spans="4:10" ht="15.75">
      <c r="D28" s="12" t="s">
        <v>257</v>
      </c>
      <c r="E28" s="31" t="s">
        <v>210</v>
      </c>
      <c r="F28" s="16"/>
      <c r="G28" s="12">
        <v>3</v>
      </c>
      <c r="H28" s="12">
        <v>3</v>
      </c>
      <c r="I28" s="12">
        <v>3</v>
      </c>
      <c r="J28" s="16"/>
    </row>
    <row r="29" spans="4:10" ht="15.75">
      <c r="D29" s="12" t="s">
        <v>258</v>
      </c>
      <c r="E29" s="31" t="s">
        <v>210</v>
      </c>
      <c r="F29" s="16"/>
      <c r="G29" s="12">
        <v>3</v>
      </c>
      <c r="H29" s="12">
        <v>3</v>
      </c>
      <c r="I29" s="12">
        <v>2</v>
      </c>
      <c r="J29" s="12">
        <v>1</v>
      </c>
    </row>
    <row r="30" spans="4:10" ht="15.75">
      <c r="D30" s="12" t="s">
        <v>259</v>
      </c>
      <c r="E30" s="31" t="s">
        <v>210</v>
      </c>
      <c r="F30" s="16"/>
      <c r="G30" s="12">
        <v>4</v>
      </c>
      <c r="H30" s="12">
        <v>4</v>
      </c>
      <c r="I30" s="12">
        <v>4</v>
      </c>
      <c r="J30" s="16"/>
    </row>
    <row r="31" spans="4:10" ht="15.75">
      <c r="D31" s="12" t="s">
        <v>260</v>
      </c>
      <c r="E31" s="31" t="s">
        <v>210</v>
      </c>
      <c r="F31" s="16"/>
      <c r="G31" s="12">
        <v>5</v>
      </c>
      <c r="H31" s="12">
        <v>5</v>
      </c>
      <c r="I31" s="12">
        <v>4</v>
      </c>
      <c r="J31" s="12">
        <v>1</v>
      </c>
    </row>
    <row r="32" spans="4:10" ht="15.75">
      <c r="D32" s="12" t="s">
        <v>261</v>
      </c>
      <c r="E32" s="31" t="s">
        <v>210</v>
      </c>
      <c r="F32" s="16"/>
      <c r="G32" s="12">
        <v>15</v>
      </c>
      <c r="H32" s="12">
        <v>15</v>
      </c>
      <c r="I32" s="12">
        <v>14</v>
      </c>
      <c r="J32" s="12">
        <v>1</v>
      </c>
    </row>
    <row r="33" spans="4:10" ht="15.75">
      <c r="D33" s="12" t="s">
        <v>262</v>
      </c>
      <c r="E33" s="31" t="s">
        <v>210</v>
      </c>
      <c r="F33" s="16"/>
      <c r="G33" s="12">
        <v>5</v>
      </c>
      <c r="H33" s="12">
        <v>5</v>
      </c>
      <c r="I33" s="12">
        <v>1</v>
      </c>
      <c r="J33" s="12">
        <v>4</v>
      </c>
    </row>
    <row r="34" spans="4:10" ht="15.75">
      <c r="D34" s="12" t="s">
        <v>263</v>
      </c>
      <c r="E34" s="31" t="s">
        <v>210</v>
      </c>
      <c r="F34" s="16"/>
      <c r="G34" s="12">
        <v>5</v>
      </c>
      <c r="H34" s="12">
        <v>5</v>
      </c>
      <c r="I34" s="12">
        <v>4</v>
      </c>
      <c r="J34" s="12">
        <v>1</v>
      </c>
    </row>
    <row r="35" spans="4:10" ht="15.75">
      <c r="D35" s="12" t="s">
        <v>264</v>
      </c>
      <c r="E35" s="31" t="s">
        <v>210</v>
      </c>
      <c r="F35" s="16"/>
      <c r="G35" s="12">
        <v>5</v>
      </c>
      <c r="H35" s="12">
        <v>5</v>
      </c>
      <c r="I35" s="12">
        <v>4</v>
      </c>
      <c r="J35" s="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A2630C31D9EA4A9EF516DE1BC11B0B" ma:contentTypeVersion="12" ma:contentTypeDescription="Create a new document." ma:contentTypeScope="" ma:versionID="d610039595b8c665fae6b16e67fdcc38">
  <xsd:schema xmlns:xsd="http://www.w3.org/2001/XMLSchema" xmlns:xs="http://www.w3.org/2001/XMLSchema" xmlns:p="http://schemas.microsoft.com/office/2006/metadata/properties" xmlns:ns3="0cc47965-b596-4825-8356-bac0e52e0efc" targetNamespace="http://schemas.microsoft.com/office/2006/metadata/properties" ma:root="true" ma:fieldsID="62af3bf4e88d3f30419fcad715e6806d" ns3:_="">
    <xsd:import namespace="0cc47965-b596-4825-8356-bac0e52e0e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c47965-b596-4825-8356-bac0e52e0e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c47965-b596-4825-8356-bac0e52e0ef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58C993-5CEF-4963-A6EE-DE084156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c47965-b596-4825-8356-bac0e52e0e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D26F15-5242-4287-A560-83FA1A94DC75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0cc47965-b596-4825-8356-bac0e52e0ef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7B6C7B6-DDA1-43AD-9B57-D90734BAF0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allocation</vt:lpstr>
      <vt:lpstr>summary</vt:lpstr>
      <vt:lpstr>Pharmacist Kit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Bhardwaj</dc:creator>
  <cp:lastModifiedBy>Madhukar Sharma</cp:lastModifiedBy>
  <dcterms:created xsi:type="dcterms:W3CDTF">2026-09-04T08:38:40Z</dcterms:created>
  <dcterms:modified xsi:type="dcterms:W3CDTF">2026-10-17T11:46:16Z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0x0101000CA2630C31D9EA4A9EF516DE1BC11B0B</vt:lpwstr>
  </property>
</Properties>
</file>